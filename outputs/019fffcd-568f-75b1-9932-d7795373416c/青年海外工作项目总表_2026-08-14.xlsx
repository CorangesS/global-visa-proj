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9d79b0f7d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65f90a45554c4183"/>
    <x:sheet xmlns:r="http://schemas.openxmlformats.org/officeDocument/2006/relationships" name="个人画像" sheetId="2" r:id="R08e82396fafe4096"/>
    <x:sheet xmlns:r="http://schemas.openxmlformats.org/officeDocument/2006/relationships" name="行动清单" sheetId="3" r:id="R1a4fec140ade45d8"/>
    <x:sheet xmlns:r="http://schemas.openxmlformats.org/officeDocument/2006/relationships" name="材料清单" sheetId="4" r:id="Rdf6e6a736ace49d9"/>
    <x:sheet xmlns:r="http://schemas.openxmlformats.org/officeDocument/2006/relationships" name="时间窗口" sheetId="5" r:id="R1904d5a9408c4b61"/>
    <x:sheet xmlns:r="http://schemas.openxmlformats.org/officeDocument/2006/relationships" name="来源索引" sheetId="6" r:id="Rfed1240c1fc2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170"/>
      <x:name val="Carlito"/>
    </x:font>
    <x:font>
      <x:b/>
      <x:sz val="11"/>
      <x:color rgb="FF16324F"/>
      <x:name val="Carlito"/>
    </x:font>
    <x:font>
      <x:b/>
      <x:sz val="14"/>
      <x:color rgb="FF16324F"/>
      <x:name val="Carlito"/>
    </x:font>
    <x:font>
      <x:i/>
      <x:sz val="11"/>
      <x:color rgb="FF6B4F00"/>
      <x:name val="Carlito"/>
    </x:font>
    <x:font>
      <x:b/>
      <x:sz val="11"/>
      <x:color rgb="FFFFFFFF"/>
      <x:name val="Carlito"/>
    </x:font>
    <x:font>
      <x:sz val="10"/>
      <x:color rgb="FF17212B"/>
      <x:name val="Carlito"/>
    </x:font>
    <x:font>
      <x:b/>
      <x:sz val="11"/>
      <x:color rgb="FF8A1C1C"/>
      <x:name val="Carlito"/>
    </x:font>
    <x:font>
      <x:sz val="10"/>
      <x:color rgb="FF1155C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F3F5F7"/>
      </x:patternFill>
    </x:fill>
    <x:fill>
      <x:patternFill patternType="solid">
        <x:fgColor rgb="FFDFF3EE"/>
      </x:patternFill>
    </x:fill>
    <x:fill>
      <x:patternFill patternType="solid">
        <x:fgColor rgb="FFFFF4CC"/>
      </x:patternFill>
    </x:fill>
    <x:fill>
      <x:patternFill patternType="solid">
        <x:fgColor rgb="FF245A7A"/>
      </x:patternFill>
    </x:fill>
    <x:fill>
      <x:patternFill patternType="solid">
        <x:fgColor rgb="FFD9EEDB"/>
      </x:patternFill>
    </x:fill>
    <x:fill>
      <x:patternFill patternType="solid">
        <x:fgColor rgb="FFFCE8E6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2bb7c998c48aa" /><Relationship Type="http://schemas.openxmlformats.org/officeDocument/2006/relationships/theme" Target="/xl/theme/theme1.xml" Id="R0ccdb912e9294508" /><Relationship Type="http://schemas.openxmlformats.org/officeDocument/2006/relationships/sharedStrings" Target="/xl/sharedStrings.xml" Id="Rbfe02994f6db4b9d" /><Relationship Type="http://schemas.openxmlformats.org/officeDocument/2006/relationships/worksheet" Target="/xl/worksheets/sheet1.xml" Id="R65f90a45554c4183" /><Relationship Type="http://schemas.openxmlformats.org/officeDocument/2006/relationships/worksheet" Target="/xl/worksheets/sheet2.xml" Id="R08e82396fafe4096" /><Relationship Type="http://schemas.openxmlformats.org/officeDocument/2006/relationships/worksheet" Target="/xl/worksheets/sheet3.xml" Id="R1a4fec140ade45d8" /><Relationship Type="http://schemas.openxmlformats.org/officeDocument/2006/relationships/worksheet" Target="/xl/worksheets/sheet4.xml" Id="Rdf6e6a736ace49d9" /><Relationship Type="http://schemas.openxmlformats.org/officeDocument/2006/relationships/worksheet" Target="/xl/worksheets/sheet5.xml" Id="R1904d5a9408c4b61" /><Relationship Type="http://schemas.openxmlformats.org/officeDocument/2006/relationships/worksheet" Target="/xl/worksheets/sheet6.xml" Id="Rfed1240c1fc246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2" hidden="0" customWidth="1"/>
    <x:col min="4" max="4" width="16" hidden="0" customWidth="1"/>
    <x:col min="5" max="5" width="9" hidden="0" customWidth="1"/>
    <x:col min="6" max="6" width="12" hidden="0" customWidth="1"/>
    <x:col min="7" max="7" width="16" hidden="0" customWidth="1"/>
    <x:col min="8" max="8" width="14" hidden="0" customWidth="1"/>
    <x:col min="9" max="9" width="16" hidden="0" customWidth="1"/>
    <x:col min="10" max="10" width="18" hidden="0" customWidth="1"/>
    <x:col min="11" max="11" width="22" hidden="0" customWidth="1"/>
    <x:col min="12" max="12" width="24" hidden="0" customWidth="1"/>
    <x:col min="13" max="13" width="24" hidden="0" customWidth="1"/>
    <x:col min="14" max="14" width="36" hidden="0" customWidth="1"/>
    <x:col min="15" max="15" width="34" hidden="0" customWidth="1"/>
    <x:col min="16" max="16" width="12" hidden="0" customWidth="1"/>
    <x:col min="17" max="17" width="13" hidden="0" customWidth="1"/>
    <x:col min="18" max="18" width="48" hidden="0" customWidth="1"/>
  </x:cols>
  <x:sheetData>
    <x:row r="1" ht="34" customHeight="1">
      <x:c r="A1" s="3" t="str">
        <x:v>青年海外工作项目总览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2" customHeight="1">
      <x:c r="A2" s="7" t="str">
        <x:v>基准：24岁、中国大陆普通护照、2024年6月中南大学学士毕业｜研究日期 2026-08-14｜黄色列可自行填写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10" t="str">
        <x:v>项目数</x:v>
      </x:c>
      <x:c r="B4" s="13" t="n">
        <x:f>COUNTA(C8:C60)</x:f>
        <x:v>39</x:v>
      </x:c>
      <x:c r="C4" s="10"/>
      <x:c r="D4" s="10" t="str">
        <x:v>A级路线</x:v>
      </x:c>
      <x:c r="E4" s="10" t="n">
        <x:f>COUNTIF(A8:A60,"A1")+COUNTIF(A8:A60,"A2")+COUNTIF(A8:A60,"A3")+COUNTIF(A8:A60,"A4")</x:f>
        <x:v>4</x:v>
      </x:c>
      <x:c r="F4" s="10"/>
      <x:c r="G4" s="10" t="str">
        <x:v>可立即推进</x:v>
      </x:c>
      <x:c r="H4" s="10" t="n">
        <x:f>COUNTIF(G8:G60,"可立即推进")</x:f>
        <x:v>1</x:v>
      </x:c>
      <x:c r="I4" s="10"/>
      <x:c r="J4" s="10" t="str">
        <x:v>当前不符合</x:v>
      </x:c>
      <x:c r="K4" s="10" t="n">
        <x:f>COUNTIF(G8:G60,"当前不符合")</x:f>
        <x:v>7</x:v>
      </x:c>
      <x:c r="L4" s="10"/>
      <x:c r="M4" s="10" t="str">
        <x:v>待处理</x:v>
      </x:c>
      <x:c r="N4" s="10" t="n">
        <x:f>COUNTIF(P8:P60,"未开始")</x:f>
        <x:v>39</x:v>
      </x:c>
    </x:row>
    <x:row r="6">
      <x:c r="A6" s="16" t="str">
        <x:v>推荐分是基于当前已知画像的规划分，不是签证获批概率。‘需雇主/家庭’项目只有拿到真实合同或合规匹配后才可申请。</x:v>
      </x:c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</x:row>
    <x:row r="7" ht="34" customHeight="1">
      <x:c r="A7" s="22" t="str">
        <x:v>优先级</x:v>
      </x:c>
      <x:c r="B7" s="22" t="str">
        <x:v>国家/地区</x:v>
      </x:c>
      <x:c r="C7" s="22" t="str">
        <x:v>项目</x:v>
      </x:c>
      <x:c r="D7" s="22" t="str">
        <x:v>路线类型</x:v>
      </x:c>
      <x:c r="E7" s="22" t="str">
        <x:v>推荐分</x:v>
      </x:c>
      <x:c r="F7" s="22" t="str">
        <x:v>大陆护照资格</x:v>
      </x:c>
      <x:c r="G7" s="22" t="str">
        <x:v>当前判断</x:v>
      </x:c>
      <x:c r="H7" s="22" t="str">
        <x:v>需雇主/家庭</x:v>
      </x:c>
      <x:c r="I7" s="22" t="str">
        <x:v>年龄</x:v>
      </x:c>
      <x:c r="J7" s="22" t="str">
        <x:v>最长/初始期限</x:v>
      </x:c>
      <x:c r="K7" s="22" t="str">
        <x:v>语言门槛</x:v>
      </x:c>
      <x:c r="L7" s="22" t="str">
        <x:v>资金/主要费用</x:v>
      </x:c>
      <x:c r="M7" s="22" t="str">
        <x:v>2026状态</x:v>
      </x:c>
      <x:c r="N7" s="22" t="str">
        <x:v>核心限制</x:v>
      </x:c>
      <x:c r="O7" s="22" t="str">
        <x:v>下一步</x:v>
      </x:c>
      <x:c r="P7" s="22" t="str">
        <x:v>跟踪状态</x:v>
      </x:c>
      <x:c r="Q7" s="22" t="str">
        <x:v>目标日期</x:v>
      </x:c>
      <x:c r="R7" s="22" t="str">
        <x:v>官方来源</x:v>
      </x:c>
    </x:row>
    <x:row r="8" ht="54" customHeight="1">
      <x:c r="A8" s="29" t="str">
        <x:v>A1</x:v>
      </x:c>
      <x:c r="B8" s="29" t="str">
        <x:v>中国香港</x:v>
      </x:c>
      <x:c r="C8" s="29" t="str">
        <x:v>高才通C类</x:v>
      </x:c>
      <x:c r="D8" s="29" t="str">
        <x:v>免offer人才签</x:v>
      </x:c>
      <x:c r="E8" s="29" t="n">
        <x:v>95</x:v>
      </x:c>
      <x:c r="F8" s="26" t="str">
        <x:v>是</x:v>
      </x:c>
      <x:c r="G8" s="26" t="str">
        <x:v>可立即推进</x:v>
      </x:c>
      <x:c r="H8" s="26" t="str">
        <x:v>否</x:v>
      </x:c>
      <x:c r="I8" s="26" t="str">
        <x:v>无青年年龄上限</x:v>
      </x:c>
      <x:c r="J8" s="26" t="str">
        <x:v>初次24个月</x:v>
      </x:c>
      <x:c r="K8" s="26" t="str">
        <x:v>无统一语言考试</x:v>
      </x:c>
      <x:c r="L8" s="26" t="str">
        <x:v>动态费用</x:v>
      </x:c>
      <x:c r="M8" s="26" t="str">
        <x:v>年度10,000；先到先得</x:v>
      </x:c>
      <x:c r="N8" s="26" t="str">
        <x:v>2024毕业；毕业后全职/自雇少于3年</x:v>
      </x:c>
      <x:c r="O8" s="26" t="str">
        <x:v>准备学历验证、成绩单、赴港工作同意书</x:v>
      </x:c>
      <x:c r="P8" s="27" t="str">
        <x:v>未开始</x:v>
      </x:c>
      <x:c r="Q8" s="28"/>
      <x:c r="R8" s="26" t="str">
        <x:v>https://www.immd.gov.hk/hks/services/visas/TTPS.html</x:v>
      </x:c>
    </x:row>
    <x:row r="9" ht="54" customHeight="1">
      <x:c r="A9" s="30" t="str">
        <x:v>B</x:v>
      </x:c>
      <x:c r="B9" s="30" t="str">
        <x:v>中国香港</x:v>
      </x:c>
      <x:c r="C9" s="30" t="str">
        <x:v>高才通B类</x:v>
      </x:c>
      <x:c r="D9" s="30" t="str">
        <x:v>免offer人才签</x:v>
      </x:c>
      <x:c r="E9" s="30" t="n">
        <x:v>78</x:v>
      </x:c>
      <x:c r="F9" s="26" t="str">
        <x:v>是</x:v>
      </x:c>
      <x:c r="G9" s="26" t="str">
        <x:v>资料确认后</x:v>
      </x:c>
      <x:c r="H9" s="26" t="str">
        <x:v>否</x:v>
      </x:c>
      <x:c r="I9" s="26" t="str">
        <x:v>无青年年龄上限</x:v>
      </x:c>
      <x:c r="J9" s="26" t="str">
        <x:v>初次24个月</x:v>
      </x:c>
      <x:c r="K9" s="26" t="str">
        <x:v>无统一语言考试</x:v>
      </x:c>
      <x:c r="L9" s="26" t="str">
        <x:v>动态费用</x:v>
      </x:c>
      <x:c r="M9" s="26" t="str">
        <x:v>全年可申请</x:v>
      </x:c>
      <x:c r="N9" s="26" t="str">
        <x:v>过去5年毕业后全职/自雇至少3年</x:v>
      </x:c>
      <x:c r="O9" s="26" t="str">
        <x:v>达到3年经验后与C类切换评估</x:v>
      </x:c>
      <x:c r="P9" s="27" t="str">
        <x:v>未开始</x:v>
      </x:c>
      <x:c r="Q9" s="28"/>
      <x:c r="R9" s="26" t="str">
        <x:v>https://www.immd.gov.hk/eng/faq/TTPS.html</x:v>
      </x:c>
    </x:row>
    <x:row r="10" ht="54" customHeight="1">
      <x:c r="A10" s="29" t="str">
        <x:v>A3</x:v>
      </x:c>
      <x:c r="B10" s="29" t="str">
        <x:v>澳大利亚</x:v>
      </x:c>
      <x:c r="C10" s="29" t="str">
        <x:v>Work and Holiday 462</x:v>
      </x:c>
      <x:c r="D10" s="29" t="str">
        <x:v>Working Holiday</x:v>
      </x:c>
      <x:c r="E10" s="29" t="n">
        <x:v>78</x:v>
      </x:c>
      <x:c r="F10" s="26" t="str">
        <x:v>是</x:v>
      </x:c>
      <x:c r="G10" s="26" t="str">
        <x:v>为下一开放季准备</x:v>
      </x:c>
      <x:c r="H10" s="26" t="str">
        <x:v>否</x:v>
      </x:c>
      <x:c r="I10" s="26" t="str">
        <x:v>18–30含30</x:v>
      </x:c>
      <x:c r="J10" s="26" t="str">
        <x:v>12个月；可争取2/3年</x:v>
      </x:c>
      <x:c r="K10" s="26" t="str">
        <x:v>IELTS 4.5等功能英语</x:v>
      </x:c>
      <x:c r="L10" s="26" t="str">
        <x:v>约AUD5,000+返程；签证费动态</x:v>
      </x:c>
      <x:c r="M10" s="26" t="str">
        <x:v>2026–27登记已关闭；已登记者仍抽选</x:v>
      </x:c>
      <x:c r="N10" s="26" t="str">
        <x:v>中国申请人先抽签；年度5,000</x:v>
      </x:c>
      <x:c r="O10" s="26" t="str">
        <x:v>准备英语、学历、资金；等下一登记公告</x:v>
      </x:c>
      <x:c r="P10" s="27" t="str">
        <x:v>未开始</x:v>
      </x:c>
      <x:c r="Q10" s="28"/>
      <x:c r="R10" s="26" t="str">
        <x:v>https://immi.homeaffairs.gov.au/visas/getting-a-visa/visa-listing/work-holiday-462/first-work-holiday-462</x:v>
      </x:c>
    </x:row>
    <x:row r="11" ht="54" customHeight="1">
      <x:c r="A11" s="29" t="str">
        <x:v>A4</x:v>
      </x:c>
      <x:c r="B11" s="29" t="str">
        <x:v>新西兰</x:v>
      </x:c>
      <x:c r="C11" s="29" t="str">
        <x:v>China Working Holiday Visa</x:v>
      </x:c>
      <x:c r="D11" s="29" t="str">
        <x:v>Working Holiday</x:v>
      </x:c>
      <x:c r="E11" s="29" t="n">
        <x:v>76</x:v>
      </x:c>
      <x:c r="F11" s="26" t="str">
        <x:v>是</x:v>
      </x:c>
      <x:c r="G11" s="26" t="str">
        <x:v>为下一开放季准备</x:v>
      </x:c>
      <x:c r="H11" s="26" t="str">
        <x:v>否</x:v>
      </x:c>
      <x:c r="I11" s="26" t="str">
        <x:v>18–30</x:v>
      </x:c>
      <x:c r="J11" s="26" t="str">
        <x:v>12个月</x:v>
      </x:c>
      <x:c r="K11" s="26" t="str">
        <x:v>IELTS 5.5 / TOEFL 46 / PTE 42</x:v>
      </x:c>
      <x:c r="L11" s="26" t="str">
        <x:v>NZD4,200+返程；从NZD770</x:v>
      </x:c>
      <x:c r="M11" s="26" t="str">
        <x:v>2026名额已满；等2027</x:v>
      </x:c>
      <x:c r="N11" s="26" t="str">
        <x:v>每年1,000；申请时居住中国；CSSD高中验证</x:v>
      </x:c>
      <x:c r="O11" s="26" t="str">
        <x:v>准备英语、CSSD验证、资金和在线账号</x:v>
      </x:c>
      <x:c r="P11" s="27" t="str">
        <x:v>未开始</x:v>
      </x:c>
      <x:c r="Q11" s="28"/>
      <x:c r="R11" s="26" t="str">
        <x:v>https://www.immigration.govt.nz/visas/china-working-holiday-visa/</x:v>
      </x:c>
    </x:row>
    <x:row r="12" ht="54" customHeight="1">
      <x:c r="A12" s="29" t="str">
        <x:v>A2</x:v>
      </x:c>
      <x:c r="B12" s="29" t="str">
        <x:v>德国</x:v>
      </x:c>
      <x:c r="C12" s="29" t="str">
        <x:v>机会卡 Chancenkarte</x:v>
      </x:c>
      <x:c r="D12" s="29" t="str">
        <x:v>免offer求职签</x:v>
      </x:c>
      <x:c r="E12" s="29" t="n">
        <x:v>82</x:v>
      </x:c>
      <x:c r="F12" s="26" t="str">
        <x:v>是</x:v>
      </x:c>
      <x:c r="G12" s="26" t="str">
        <x:v>资料确认后</x:v>
      </x:c>
      <x:c r="H12" s="26" t="str">
        <x:v>否</x:v>
      </x:c>
      <x:c r="I12" s="26" t="str">
        <x:v>积分项未满35可加分</x:v>
      </x:c>
      <x:c r="J12" s="26" t="str">
        <x:v>通常最长1年</x:v>
      </x:c>
      <x:c r="K12" s="26" t="str">
        <x:v>认可学位路径无硬性语言；积分路径德A1或英B2</x:v>
      </x:c>
      <x:c r="L12" s="26" t="str">
        <x:v>2026每月€1,091资金</x:v>
      </x:c>
      <x:c r="M12" s="26" t="str">
        <x:v>全年可申请</x:v>
      </x:c>
      <x:c r="N12" s="26" t="str">
        <x:v>须核学位可比性；目标是合格就业，不是随意打工</x:v>
      </x:c>
      <x:c r="O12" s="26" t="str">
        <x:v>查anabin/ZAB并完成官方Self-Check</x:v>
      </x:c>
      <x:c r="P12" s="27" t="str">
        <x:v>未开始</x:v>
      </x:c>
      <x:c r="Q12" s="28"/>
      <x:c r="R12" s="26" t="str">
        <x:v>https://www.make-it-in-germany.com/en/visa-residence/opportunity-card/job-search</x:v>
      </x:c>
    </x:row>
    <x:row r="13" ht="54" customHeight="1">
      <x:c r="A13" s="30" t="str">
        <x:v>B</x:v>
      </x:c>
      <x:c r="B13" s="30" t="str">
        <x:v>德国</x:v>
      </x:c>
      <x:c r="C13" s="30" t="str">
        <x:v>Au pair</x:v>
      </x:c>
      <x:c r="D13" s="30" t="str">
        <x:v>住家文化交流</x:v>
      </x:c>
      <x:c r="E13" s="30" t="n">
        <x:v>61</x:v>
      </x:c>
      <x:c r="F13" s="26" t="str">
        <x:v>是</x:v>
      </x:c>
      <x:c r="G13" s="26" t="str">
        <x:v>需家庭/机构</x:v>
      </x:c>
      <x:c r="H13" s="26" t="str">
        <x:v>是</x:v>
      </x:c>
      <x:c r="I13" s="26" t="str">
        <x:v>18–26</x:v>
      </x:c>
      <x:c r="J13" s="26" t="str">
        <x:v>6–12个月</x:v>
      </x:c>
      <x:c r="K13" s="26" t="str">
        <x:v>通常德语A1</x:v>
      </x:c>
      <x:c r="L13" s="26" t="str">
        <x:v>家庭承担食宿/保险；零用钱</x:v>
      </x:c>
      <x:c r="M13" s="26" t="str">
        <x:v>全年匹配</x:v>
      </x:c>
      <x:c r="N13" s="26" t="str">
        <x:v>27岁前申请；住家照护儿童</x:v>
      </x:c>
      <x:c r="O13" s="26" t="str">
        <x:v>确认意愿，考A1，准备照护推荐信</x:v>
      </x:c>
      <x:c r="P13" s="27" t="str">
        <x:v>未开始</x:v>
      </x:c>
      <x:c r="Q13" s="28"/>
      <x:c r="R13" s="26" t="str">
        <x:v>https://china.diplo.de/cn-zh/service/visa-einreise/2716620-2716620</x:v>
      </x:c>
    </x:row>
    <x:row r="14" ht="54" customHeight="1">
      <x:c r="A14" s="31" t="str">
        <x:v>不适用</x:v>
      </x:c>
      <x:c r="B14" s="31" t="str">
        <x:v>美国</x:v>
      </x:c>
      <x:c r="C14" s="31" t="str">
        <x:v>Summer Work Travel</x:v>
      </x:c>
      <x:c r="D14" s="31" t="str">
        <x:v>J-1暑期工</x:v>
      </x:c>
      <x:c r="E14" s="31" t="n">
        <x:v>10</x:v>
      </x:c>
      <x:c r="F14" s="26" t="str">
        <x:v>否</x:v>
      </x:c>
      <x:c r="G14" s="26" t="str">
        <x:v>当前不符合</x:v>
      </x:c>
      <x:c r="H14" s="26" t="str">
        <x:v>是</x:v>
      </x:c>
      <x:c r="I14" s="26" t="str">
        <x:v>无核心年龄项</x:v>
      </x:c>
      <x:c r="J14" s="26" t="str">
        <x:v>最长4个月</x:v>
      </x:c>
      <x:c r="K14" s="26" t="str">
        <x:v>英语足够</x:v>
      </x:c>
      <x:c r="L14" s="26" t="str">
        <x:v>项目/签证费用动态</x:v>
      </x:c>
      <x:c r="M14" s="26" t="str">
        <x:v>每年季节性</x:v>
      </x:c>
      <x:c r="N14" s="26" t="str">
        <x:v>必须当前全日制大学在读；你已毕业</x:v>
      </x:c>
      <x:c r="O14" s="26" t="str">
        <x:v>不投入</x:v>
      </x:c>
      <x:c r="P14" s="27" t="str">
        <x:v>未开始</x:v>
      </x:c>
      <x:c r="Q14" s="28"/>
      <x:c r="R14" s="26" t="str">
        <x:v>https://j1visa.state.gov/programs/summer-work-travel/</x:v>
      </x:c>
    </x:row>
    <x:row r="15" ht="54" customHeight="1">
      <x:c r="A15" s="31" t="str">
        <x:v>不适用</x:v>
      </x:c>
      <x:c r="B15" s="31" t="str">
        <x:v>美国</x:v>
      </x:c>
      <x:c r="C15" s="31" t="str">
        <x:v>J-1 Intern</x:v>
      </x:c>
      <x:c r="D15" s="31" t="str">
        <x:v>专业实习</x:v>
      </x:c>
      <x:c r="E15" s="31" t="n">
        <x:v>12</x:v>
      </x:c>
      <x:c r="F15" s="26" t="str">
        <x:v>否</x:v>
      </x:c>
      <x:c r="G15" s="26" t="str">
        <x:v>当前不符合</x:v>
      </x:c>
      <x:c r="H15" s="26" t="str">
        <x:v>是</x:v>
      </x:c>
      <x:c r="I15" s="26" t="str">
        <x:v>无核心年龄项</x:v>
      </x:c>
      <x:c r="J15" s="26" t="str">
        <x:v>按领域规则</x:v>
      </x:c>
      <x:c r="K15" s="26" t="str">
        <x:v>英语足够</x:v>
      </x:c>
      <x:c r="L15" s="26" t="str">
        <x:v>项目/签证费用动态</x:v>
      </x:c>
      <x:c r="M15" s="26" t="str">
        <x:v>全年</x:v>
      </x:c>
      <x:c r="N15" s="26" t="str">
        <x:v>需在读或毕业不超过12个月</x:v>
      </x:c>
      <x:c r="O15" s="26" t="str">
        <x:v>不投入</x:v>
      </x:c>
      <x:c r="P15" s="27" t="str">
        <x:v>未开始</x:v>
      </x:c>
      <x:c r="Q15" s="28"/>
      <x:c r="R15" s="26" t="str">
        <x:v>https://j1visa.state.gov/programs/intern/</x:v>
      </x:c>
    </x:row>
    <x:row r="16" ht="54" customHeight="1">
      <x:c r="A16" s="30" t="str">
        <x:v>B</x:v>
      </x:c>
      <x:c r="B16" s="30" t="str">
        <x:v>美国</x:v>
      </x:c>
      <x:c r="C16" s="30" t="str">
        <x:v>J-1 Trainee</x:v>
      </x:c>
      <x:c r="D16" s="30" t="str">
        <x:v>结构化培训</x:v>
      </x:c>
      <x:c r="E16" s="30" t="n">
        <x:v>62</x:v>
      </x:c>
      <x:c r="F16" s="26" t="str">
        <x:v>有条件</x:v>
      </x:c>
      <x:c r="G16" s="26" t="str">
        <x:v>资料确认后</x:v>
      </x:c>
      <x:c r="H16" s="26" t="str">
        <x:v>是</x:v>
      </x:c>
      <x:c r="I16" s="26" t="str">
        <x:v>无统一青年上限</x:v>
      </x:c>
      <x:c r="J16" s="26" t="str">
        <x:v>按领域上限</x:v>
      </x:c>
      <x:c r="K16" s="26" t="str">
        <x:v>英语足够</x:v>
      </x:c>
      <x:c r="L16" s="26" t="str">
        <x:v>担保/签证/保险费用</x:v>
      </x:c>
      <x:c r="M16" s="26" t="str">
        <x:v>全年</x:v>
      </x:c>
      <x:c r="N16" s="26" t="str">
        <x:v>学位+境外至少1年相关经验；不能替代普通岗位</x:v>
      </x:c>
      <x:c r="O16" s="26" t="str">
        <x:v>核对相关工作满1年并找指定担保人</x:v>
      </x:c>
      <x:c r="P16" s="27" t="str">
        <x:v>未开始</x:v>
      </x:c>
      <x:c r="Q16" s="28"/>
      <x:c r="R16" s="26" t="str">
        <x:v>https://j1visa.state.gov/programs/trainee/</x:v>
      </x:c>
    </x:row>
    <x:row r="17" ht="54" customHeight="1">
      <x:c r="A17" s="30" t="str">
        <x:v>B</x:v>
      </x:c>
      <x:c r="B17" s="30" t="str">
        <x:v>美国</x:v>
      </x:c>
      <x:c r="C17" s="30" t="str">
        <x:v>J-1 Au Pair</x:v>
      </x:c>
      <x:c r="D17" s="30" t="str">
        <x:v>住家文化交流</x:v>
      </x:c>
      <x:c r="E17" s="30" t="n">
        <x:v>60</x:v>
      </x:c>
      <x:c r="F17" s="26" t="str">
        <x:v>是</x:v>
      </x:c>
      <x:c r="G17" s="26" t="str">
        <x:v>需家庭/机构</x:v>
      </x:c>
      <x:c r="H17" s="26" t="str">
        <x:v>是</x:v>
      </x:c>
      <x:c r="I17" s="26" t="str">
        <x:v>18–26</x:v>
      </x:c>
      <x:c r="J17" s="26" t="str">
        <x:v>12个月，可延长</x:v>
      </x:c>
      <x:c r="K17" s="26" t="str">
        <x:v>英语口语足够</x:v>
      </x:c>
      <x:c r="L17" s="26" t="str">
        <x:v>担保项目费；家庭食宿/津贴</x:v>
      </x:c>
      <x:c r="M17" s="26" t="str">
        <x:v>全年匹配</x:v>
      </x:c>
      <x:c r="N17" s="26" t="str">
        <x:v>背景筛查、照护儿童、完成规定课程</x:v>
      </x:c>
      <x:c r="O17" s="26" t="str">
        <x:v>26岁前找指定担保人</x:v>
      </x:c>
      <x:c r="P17" s="27" t="str">
        <x:v>未开始</x:v>
      </x:c>
      <x:c r="Q17" s="28"/>
      <x:c r="R17" s="26" t="str">
        <x:v>https://j1visa.state.gov/programs/au-pair/</x:v>
      </x:c>
    </x:row>
    <x:row r="18" ht="54" customHeight="1">
      <x:c r="A18" s="30" t="str">
        <x:v>B</x:v>
      </x:c>
      <x:c r="B18" s="30" t="str">
        <x:v>美国</x:v>
      </x:c>
      <x:c r="C18" s="30" t="str">
        <x:v>J-1 Camp Counselor</x:v>
      </x:c>
      <x:c r="D18" s="30" t="str">
        <x:v>夏令营交流</x:v>
      </x:c>
      <x:c r="E18" s="30" t="n">
        <x:v>56</x:v>
      </x:c>
      <x:c r="F18" s="26" t="str">
        <x:v>有条件</x:v>
      </x:c>
      <x:c r="G18" s="26" t="str">
        <x:v>需雇主/担保</x:v>
      </x:c>
      <x:c r="H18" s="26" t="str">
        <x:v>是</x:v>
      </x:c>
      <x:c r="I18" s="26" t="str">
        <x:v>至少18</x:v>
      </x:c>
      <x:c r="J18" s="26" t="str">
        <x:v>最长4个月</x:v>
      </x:c>
      <x:c r="K18" s="26" t="str">
        <x:v>英语足够</x:v>
      </x:c>
      <x:c r="L18" s="26" t="str">
        <x:v>担保/签证/保险费用</x:v>
      </x:c>
      <x:c r="M18" s="26" t="str">
        <x:v>季节性</x:v>
      </x:c>
      <x:c r="N18" s="26" t="str">
        <x:v>需青年工作/教育/特殊技能；不能做普通后勤</x:v>
      </x:c>
      <x:c r="O18" s="26" t="str">
        <x:v>盘点体育/艺术/户外/教育技能</x:v>
      </x:c>
      <x:c r="P18" s="27" t="str">
        <x:v>未开始</x:v>
      </x:c>
      <x:c r="Q18" s="28"/>
      <x:c r="R18" s="26" t="str">
        <x:v>https://j1visa.state.gov/programs/camp-counselor/</x:v>
      </x:c>
    </x:row>
    <x:row r="19" ht="54" customHeight="1">
      <x:c r="A19" s="30" t="str">
        <x:v>B</x:v>
      </x:c>
      <x:c r="B19" s="30" t="str">
        <x:v>法国</x:v>
      </x:c>
      <x:c r="C19" s="30" t="str">
        <x:v>Young au pair</x:v>
      </x:c>
      <x:c r="D19" s="30" t="str">
        <x:v>住家文化交流</x:v>
      </x:c>
      <x:c r="E19" s="30" t="n">
        <x:v>60</x:v>
      </x:c>
      <x:c r="F19" s="26" t="str">
        <x:v>是</x:v>
      </x:c>
      <x:c r="G19" s="26" t="str">
        <x:v>需家庭/机构</x:v>
      </x:c>
      <x:c r="H19" s="26" t="str">
        <x:v>是</x:v>
      </x:c>
      <x:c r="I19" s="26" t="str">
        <x:v>18–30</x:v>
      </x:c>
      <x:c r="J19" s="26" t="str">
        <x:v>1年，可延至总计2年</x:v>
      </x:c>
      <x:c r="K19" s="26" t="str">
        <x:v>基础法语或教育/职业资格</x:v>
      </x:c>
      <x:c r="L19" s="26" t="str">
        <x:v>家庭食宿/零用钱；签证费动态</x:v>
      </x:c>
      <x:c r="M19" s="26" t="str">
        <x:v>全年匹配</x:v>
      </x:c>
      <x:c r="N19" s="26" t="str">
        <x:v>与家庭不同国籍、无亲属关系</x:v>
      </x:c>
      <x:c r="O19" s="26" t="str">
        <x:v>准备法语和照护材料</x:v>
      </x:c>
      <x:c r="P19" s="27" t="str">
        <x:v>未开始</x:v>
      </x:c>
      <x:c r="Q19" s="28"/>
      <x:c r="R19" s="26" t="str">
        <x:v>https://www.france-visas.gouv.fr/en/jeune-au-pair</x:v>
      </x:c>
    </x:row>
    <x:row r="20" ht="54" customHeight="1">
      <x:c r="A20" s="30" t="str">
        <x:v>B</x:v>
      </x:c>
      <x:c r="B20" s="30" t="str">
        <x:v>法国</x:v>
      </x:c>
      <x:c r="C20" s="30" t="str">
        <x:v>季节工</x:v>
      </x:c>
      <x:c r="D20" s="30" t="str">
        <x:v>雇主季节工</x:v>
      </x:c>
      <x:c r="E20" s="30" t="n">
        <x:v>52</x:v>
      </x:c>
      <x:c r="F20" s="26" t="str">
        <x:v>是</x:v>
      </x:c>
      <x:c r="G20" s="26" t="str">
        <x:v>需雇主/担保</x:v>
      </x:c>
      <x:c r="H20" s="26" t="str">
        <x:v>是</x:v>
      </x:c>
      <x:c r="I20" s="26" t="str">
        <x:v>无青年专属上限</x:v>
      </x:c>
      <x:c r="J20" s="26" t="str">
        <x:v>依合同/季节规则</x:v>
      </x:c>
      <x:c r="K20" s="26" t="str">
        <x:v>岗位相关</x:v>
      </x:c>
      <x:c r="L20" s="26" t="str">
        <x:v>签证费/保险/行程</x:v>
      </x:c>
      <x:c r="M20" s="26" t="str">
        <x:v>按季节</x:v>
      </x:c>
      <x:c r="N20" s="26" t="str">
        <x:v>雇主须先取得工作许可</x:v>
      </x:c>
      <x:c r="O20" s="26" t="str">
        <x:v>找愿办理许可的农业/旅游雇主</x:v>
      </x:c>
      <x:c r="P20" s="27" t="str">
        <x:v>未开始</x:v>
      </x:c>
      <x:c r="Q20" s="28"/>
      <x:c r="R20" s="26" t="str">
        <x:v>https://www.france-visas.gouv.fr/en/activite-salariee</x:v>
      </x:c>
    </x:row>
    <x:row r="21" ht="54" customHeight="1">
      <x:c r="A21" s="26" t="str">
        <x:v>C</x:v>
      </x:c>
      <x:c r="B21" s="26" t="str">
        <x:v>法国</x:v>
      </x:c>
      <x:c r="C21" s="26" t="str">
        <x:v>中法千名实习生</x:v>
      </x:c>
      <x:c r="D21" s="26" t="str">
        <x:v>政府协议实习</x:v>
      </x:c>
      <x:c r="E21" s="26" t="n">
        <x:v>45</x:v>
      </x:c>
      <x:c r="F21" s="26" t="str">
        <x:v>有条件</x:v>
      </x:c>
      <x:c r="G21" s="26" t="str">
        <x:v>待官方确认</x:v>
      </x:c>
      <x:c r="H21" s="26" t="str">
        <x:v>是</x:v>
      </x:c>
      <x:c r="I21" s="26" t="str">
        <x:v>协议称青年毕业生</x:v>
      </x:c>
      <x:c r="J21" s="26" t="str">
        <x:v>通常不超6个月</x:v>
      </x:c>
      <x:c r="K21" s="26" t="str">
        <x:v>依岗位</x:v>
      </x:c>
      <x:c r="L21" s="26" t="str">
        <x:v>通常生活补贴而非工资</x:v>
      </x:c>
      <x:c r="M21" s="26" t="str">
        <x:v>需确认当前中国端渠道</x:v>
      </x:c>
      <x:c r="N21" s="26" t="str">
        <x:v>首次职业实习与毕业生口径需个案确认</x:v>
      </x:c>
      <x:c r="O21" s="26" t="str">
        <x:v>向France-Visas/领馆书面确认</x:v>
      </x:c>
      <x:c r="P21" s="27" t="str">
        <x:v>未开始</x:v>
      </x:c>
      <x:c r="Q21" s="28"/>
      <x:c r="R21" s="26" t="str">
        <x:v>https://www.legifrance.gouv.fr/jorf/article_jo/JORFARTI000032154775</x:v>
      </x:c>
    </x:row>
    <x:row r="22" ht="54" customHeight="1">
      <x:c r="A22" s="30" t="str">
        <x:v>B</x:v>
      </x:c>
      <x:c r="B22" s="30" t="str">
        <x:v>英国</x:v>
      </x:c>
      <x:c r="C22" s="30" t="str">
        <x:v>Seasonal Worker</x:v>
      </x:c>
      <x:c r="D22" s="30" t="str">
        <x:v>担保季节工</x:v>
      </x:c>
      <x:c r="E22" s="30" t="n">
        <x:v>64</x:v>
      </x:c>
      <x:c r="F22" s="26" t="str">
        <x:v>是</x:v>
      </x:c>
      <x:c r="G22" s="26" t="str">
        <x:v>需雇主/担保</x:v>
      </x:c>
      <x:c r="H22" s="26" t="str">
        <x:v>是</x:v>
      </x:c>
      <x:c r="I22" s="26" t="str">
        <x:v>18+</x:v>
      </x:c>
      <x:c r="J22" s="26" t="str">
        <x:v>园艺最长6个月</x:v>
      </x:c>
      <x:c r="K22" s="26" t="str">
        <x:v>无统一考试</x:v>
      </x:c>
      <x:c r="L22" s="26" t="str">
        <x:v>£1,270持有28天；费£340</x:v>
      </x:c>
      <x:c r="M22" s="26" t="str">
        <x:v>全年按季节和担保方</x:v>
      </x:c>
      <x:c r="N22" s="26" t="str">
        <x:v>需持牌担保方CoS；不能第二份/永久工作</x:v>
      </x:c>
      <x:c r="O22" s="26" t="str">
        <x:v>查官方担保名单并核对合同</x:v>
      </x:c>
      <x:c r="P22" s="27" t="str">
        <x:v>未开始</x:v>
      </x:c>
      <x:c r="Q22" s="28"/>
      <x:c r="R22" s="26" t="str">
        <x:v>https://www.gov.uk/seasonal-worker-visa</x:v>
      </x:c>
    </x:row>
    <x:row r="23" ht="54" customHeight="1">
      <x:c r="A23" s="31" t="str">
        <x:v>不适用</x:v>
      </x:c>
      <x:c r="B23" s="31" t="str">
        <x:v>英国</x:v>
      </x:c>
      <x:c r="C23" s="31" t="str">
        <x:v>Youth Mobility Scheme</x:v>
      </x:c>
      <x:c r="D23" s="31" t="str">
        <x:v>青年流动</x:v>
      </x:c>
      <x:c r="E23" s="31" t="n">
        <x:v>5</x:v>
      </x:c>
      <x:c r="F23" s="26" t="str">
        <x:v>否</x:v>
      </x:c>
      <x:c r="G23" s="26" t="str">
        <x:v>当前不符合</x:v>
      </x:c>
      <x:c r="H23" s="26" t="str">
        <x:v>否</x:v>
      </x:c>
      <x:c r="I23" s="26" t="str">
        <x:v>按国籍不同</x:v>
      </x:c>
      <x:c r="J23" s="26" t="str">
        <x:v>通常2年</x:v>
      </x:c>
      <x:c r="K23" s="26" t="str">
        <x:v>无统一考试</x:v>
      </x:c>
      <x:c r="L23" s="26" t="str">
        <x:v>动态</x:v>
      </x:c>
      <x:c r="M23" s="26" t="str">
        <x:v>年度配额</x:v>
      </x:c>
      <x:c r="N23" s="26" t="str">
        <x:v>大陆普通护照不在名单</x:v>
      </x:c>
      <x:c r="O23" s="26" t="str">
        <x:v>不投入</x:v>
      </x:c>
      <x:c r="P23" s="27" t="str">
        <x:v>未开始</x:v>
      </x:c>
      <x:c r="Q23" s="28"/>
      <x:c r="R23" s="26" t="str">
        <x:v>https://www.gov.uk/guidance/immigration-rules/immigration-rules-appendix-youth-mobility-scheme-eligible-nationals</x:v>
      </x:c>
    </x:row>
    <x:row r="24" ht="54" customHeight="1">
      <x:c r="A24" s="30" t="str">
        <x:v>B</x:v>
      </x:c>
      <x:c r="B24" s="30" t="str">
        <x:v>芬兰</x:v>
      </x:c>
      <x:c r="C24" s="30" t="str">
        <x:v>Au pair</x:v>
      </x:c>
      <x:c r="D24" s="30" t="str">
        <x:v>住家文化交流</x:v>
      </x:c>
      <x:c r="E24" s="30" t="n">
        <x:v>57</x:v>
      </x:c>
      <x:c r="F24" s="26" t="str">
        <x:v>是</x:v>
      </x:c>
      <x:c r="G24" s="26" t="str">
        <x:v>需家庭/机构</x:v>
      </x:c>
      <x:c r="H24" s="26" t="str">
        <x:v>是</x:v>
      </x:c>
      <x:c r="I24" s="26" t="str">
        <x:v>17–30</x:v>
      </x:c>
      <x:c r="J24" s="26" t="str">
        <x:v>最长1年</x:v>
      </x:c>
      <x:c r="K24" s="26" t="str">
        <x:v>芬兰语/瑞典语兴趣与课程</x:v>
      </x:c>
      <x:c r="L24" s="26" t="str">
        <x:v>2026净零用钱€340；电子费€530</x:v>
      </x:c>
      <x:c r="M24" s="26" t="str">
        <x:v>全年匹配</x:v>
      </x:c>
      <x:c r="N24" s="26" t="str">
        <x:v>此前不能在任何国家做过au pair</x:v>
      </x:c>
      <x:c r="O24" s="26" t="str">
        <x:v>准备语言学习证据与协议</x:v>
      </x:c>
      <x:c r="P24" s="27" t="str">
        <x:v>未开始</x:v>
      </x:c>
      <x:c r="Q24" s="28"/>
      <x:c r="R24" s="26" t="str">
        <x:v>https://migri.fi/en/au-pair/en</x:v>
      </x:c>
    </x:row>
    <x:row r="25" ht="54" customHeight="1">
      <x:c r="A25" s="30" t="str">
        <x:v>B</x:v>
      </x:c>
      <x:c r="B25" s="30" t="str">
        <x:v>芬兰</x:v>
      </x:c>
      <x:c r="C25" s="30" t="str">
        <x:v>Seasonal work</x:v>
      </x:c>
      <x:c r="D25" s="30" t="str">
        <x:v>雇主季节工</x:v>
      </x:c>
      <x:c r="E25" s="30" t="n">
        <x:v>58</x:v>
      </x:c>
      <x:c r="F25" s="26" t="str">
        <x:v>是</x:v>
      </x:c>
      <x:c r="G25" s="26" t="str">
        <x:v>需雇主/担保</x:v>
      </x:c>
      <x:c r="H25" s="26" t="str">
        <x:v>是</x:v>
      </x:c>
      <x:c r="I25" s="26" t="str">
        <x:v>无青年专属上限</x:v>
      </x:c>
      <x:c r="J25" s="26" t="str">
        <x:v>最长9个月/12个月</x:v>
      </x:c>
      <x:c r="K25" s="26" t="str">
        <x:v>岗位相关</x:v>
      </x:c>
      <x:c r="L25" s="26" t="str">
        <x:v>签证/许可费、保险、住宿</x:v>
      </x:c>
      <x:c r="M25" s="26" t="str">
        <x:v>按季节</x:v>
      </x:c>
      <x:c r="N25" s="26" t="str">
        <x:v>先有合同；6–9个月涉及劳动力市场审查</x:v>
      </x:c>
      <x:c r="O25" s="26" t="str">
        <x:v>投农业/林业/旅游岗位</x:v>
      </x:c>
      <x:c r="P25" s="27" t="str">
        <x:v>未开始</x:v>
      </x:c>
      <x:c r="Q25" s="28"/>
      <x:c r="R25" s="26" t="str">
        <x:v>https://migri.fi/en/seasonal-work</x:v>
      </x:c>
    </x:row>
    <x:row r="26" ht="54" customHeight="1">
      <x:c r="A26" s="30" t="str">
        <x:v>B</x:v>
      </x:c>
      <x:c r="B26" s="30" t="str">
        <x:v>瑞典</x:v>
      </x:c>
      <x:c r="C26" s="30" t="str">
        <x:v>Au pair</x:v>
      </x:c>
      <x:c r="D26" s="30" t="str">
        <x:v>住家文化交流</x:v>
      </x:c>
      <x:c r="E26" s="30" t="n">
        <x:v>55</x:v>
      </x:c>
      <x:c r="F26" s="26" t="str">
        <x:v>是</x:v>
      </x:c>
      <x:c r="G26" s="26" t="str">
        <x:v>需家庭/机构</x:v>
      </x:c>
      <x:c r="H26" s="26" t="str">
        <x:v>是</x:v>
      </x:c>
      <x:c r="I26" s="26" t="str">
        <x:v>决定时18–29</x:v>
      </x:c>
      <x:c r="J26" s="26" t="str">
        <x:v>最长1年，不延长</x:v>
      </x:c>
      <x:c r="K26" s="26" t="str">
        <x:v>须学瑞典语</x:v>
      </x:c>
      <x:c r="L26" s="26" t="str">
        <x:v>补偿≥价格基数10%；费SEK1,500</x:v>
      </x:c>
      <x:c r="M26" s="26" t="str">
        <x:v>全年匹配</x:v>
      </x:c>
      <x:c r="N26" s="26" t="str">
        <x:v>工作≤25小时/周；工作+学习≤40小时</x:v>
      </x:c>
      <x:c r="O26" s="26" t="str">
        <x:v>准备家庭协议与保险</x:v>
      </x:c>
      <x:c r="P26" s="27" t="str">
        <x:v>未开始</x:v>
      </x:c>
      <x:c r="Q26" s="28"/>
      <x:c r="R26" s="26" t="str">
        <x:v>https://www.migrationsverket.se/en/you-want-to-apply/work/temporary-work-in-sweden/au-pairs.html</x:v>
      </x:c>
    </x:row>
    <x:row r="27" ht="54" customHeight="1">
      <x:c r="A27" s="30" t="str">
        <x:v>B</x:v>
      </x:c>
      <x:c r="B27" s="30" t="str">
        <x:v>瑞典</x:v>
      </x:c>
      <x:c r="C27" s="30" t="str">
        <x:v>Seasonal worker</x:v>
      </x:c>
      <x:c r="D27" s="30" t="str">
        <x:v>雇主季节工</x:v>
      </x:c>
      <x:c r="E27" s="30" t="n">
        <x:v>62</x:v>
      </x:c>
      <x:c r="F27" s="26" t="str">
        <x:v>是</x:v>
      </x:c>
      <x:c r="G27" s="26" t="str">
        <x:v>需雇主/担保</x:v>
      </x:c>
      <x:c r="H27" s="26" t="str">
        <x:v>是</x:v>
      </x:c>
      <x:c r="I27" s="26" t="str">
        <x:v>无青年专属上限</x:v>
      </x:c>
      <x:c r="J27" s="26" t="str">
        <x:v>最长9个月/12个月</x:v>
      </x:c>
      <x:c r="K27" s="26" t="str">
        <x:v>岗位相关</x:v>
      </x:c>
      <x:c r="L27" s="26" t="str">
        <x:v>费SEK2,000；需住房/保险</x:v>
      </x:c>
      <x:c r="M27" s="26" t="str">
        <x:v>按季节</x:v>
      </x:c>
      <x:c r="N27" s="26" t="str">
        <x:v>雇主发起；工资达集体协议/行业标准</x:v>
      </x:c>
      <x:c r="O27" s="26" t="str">
        <x:v>投旅游/滑雪/酒店/农业岗位</x:v>
      </x:c>
      <x:c r="P27" s="27" t="str">
        <x:v>未开始</x:v>
      </x:c>
      <x:c r="Q27" s="28"/>
      <x:c r="R27" s="26" t="str">
        <x:v>https://www.migrationsverket.se/en/you-want-to-apply/work/temporary-work-in-sweden/seasonal-workers.html</x:v>
      </x:c>
    </x:row>
    <x:row r="28" ht="54" customHeight="1">
      <x:c r="A28" s="30" t="str">
        <x:v>B</x:v>
      </x:c>
      <x:c r="B28" s="30" t="str">
        <x:v>挪威</x:v>
      </x:c>
      <x:c r="C28" s="30" t="str">
        <x:v>Seasonal worker</x:v>
      </x:c>
      <x:c r="D28" s="30" t="str">
        <x:v>雇主季节工</x:v>
      </x:c>
      <x:c r="E28" s="30" t="n">
        <x:v>58</x:v>
      </x:c>
      <x:c r="F28" s="26" t="str">
        <x:v>是</x:v>
      </x:c>
      <x:c r="G28" s="26" t="str">
        <x:v>需雇主/担保</x:v>
      </x:c>
      <x:c r="H28" s="26" t="str">
        <x:v>是</x:v>
      </x:c>
      <x:c r="I28" s="26" t="str">
        <x:v>18+</x:v>
      </x:c>
      <x:c r="J28" s="26" t="str">
        <x:v>最长6个月/12个月</x:v>
      </x:c>
      <x:c r="K28" s="26" t="str">
        <x:v>岗位相关</x:v>
      </x:c>
      <x:c r="L28" s="26" t="str">
        <x:v>工资须达挪威标准</x:v>
      </x:c>
      <x:c r="M28" s="26" t="str">
        <x:v>按季节</x:v>
      </x:c>
      <x:c r="N28" s="26" t="str">
        <x:v>先有全职offer；多数岗位需NAV劳动力确认</x:v>
      </x:c>
      <x:c r="O28" s="26" t="str">
        <x:v>优先农业/林业并查官方职位库</x:v>
      </x:c>
      <x:c r="P28" s="27" t="str">
        <x:v>未开始</x:v>
      </x:c>
      <x:c r="Q28" s="28"/>
      <x:c r="R28" s="26" t="str">
        <x:v>https://www.udi.no/en/want-to-apply/work-immigration/seasonal-workers/</x:v>
      </x:c>
    </x:row>
    <x:row r="29" ht="54" customHeight="1">
      <x:c r="A29" s="30" t="str">
        <x:v>B</x:v>
      </x:c>
      <x:c r="B29" s="30" t="str">
        <x:v>丹麦</x:v>
      </x:c>
      <x:c r="C29" s="30" t="str">
        <x:v>Au pair</x:v>
      </x:c>
      <x:c r="D29" s="30" t="str">
        <x:v>住家文化交流</x:v>
      </x:c>
      <x:c r="E29" s="30" t="n">
        <x:v>56</x:v>
      </x:c>
      <x:c r="F29" s="26" t="str">
        <x:v>是</x:v>
      </x:c>
      <x:c r="G29" s="26" t="str">
        <x:v>需家庭/机构</x:v>
      </x:c>
      <x:c r="H29" s="26" t="str">
        <x:v>是</x:v>
      </x:c>
      <x:c r="I29" s="26" t="str">
        <x:v>18–29</x:v>
      </x:c>
      <x:c r="J29" s="26" t="str">
        <x:v>按协议/许可</x:v>
      </x:c>
      <x:c r="K29" s="26" t="str">
        <x:v>文化语言目的</x:v>
      </x:c>
      <x:c r="L29" s="26" t="str">
        <x:v>2026零用钱DKK5,250；费DKK4,305</x:v>
      </x:c>
      <x:c r="M29" s="26" t="str">
        <x:v>全年匹配</x:v>
      </x:c>
      <x:c r="N29" s="26" t="str">
        <x:v>婚姻/稳定同居/子女条件严格</x:v>
      </x:c>
      <x:c r="O29" s="26" t="str">
        <x:v>确认个人状态并找合规家庭</x:v>
      </x:c>
      <x:c r="P29" s="27" t="str">
        <x:v>未开始</x:v>
      </x:c>
      <x:c r="Q29" s="28"/>
      <x:c r="R29" s="26" t="str">
        <x:v>https://www.nyidanmark.dk/en-GB/You-want-to-apply/Au-pair</x:v>
      </x:c>
    </x:row>
    <x:row r="30" ht="54" customHeight="1">
      <x:c r="A30" s="30" t="str">
        <x:v>B</x:v>
      </x:c>
      <x:c r="B30" s="30" t="str">
        <x:v>荷兰</x:v>
      </x:c>
      <x:c r="C30" s="30" t="str">
        <x:v>Au pair</x:v>
      </x:c>
      <x:c r="D30" s="30" t="str">
        <x:v>住家文化交流</x:v>
      </x:c>
      <x:c r="E30" s="30" t="n">
        <x:v>59</x:v>
      </x:c>
      <x:c r="F30" s="26" t="str">
        <x:v>是</x:v>
      </x:c>
      <x:c r="G30" s="31" t="str">
        <x:v>年龄紧急</x:v>
      </x:c>
      <x:c r="H30" s="31" t="str">
        <x:v>是</x:v>
      </x:c>
      <x:c r="I30" s="31" t="str">
        <x:v>18–25</x:v>
      </x:c>
      <x:c r="J30" s="26" t="str">
        <x:v>最长1年</x:v>
      </x:c>
      <x:c r="K30" s="26" t="str">
        <x:v>无统一考试</x:v>
      </x:c>
      <x:c r="L30" s="26" t="str">
        <x:v>认可机构费用需核对</x:v>
      </x:c>
      <x:c r="M30" s="26" t="str">
        <x:v>全年匹配</x:v>
      </x:c>
      <x:c r="N30" s="26" t="str">
        <x:v>必须IND认可机构；未婚无子女</x:v>
      </x:c>
      <x:c r="O30" s="26" t="str">
        <x:v>按生日立即联系认可机构</x:v>
      </x:c>
      <x:c r="P30" s="27" t="str">
        <x:v>未开始</x:v>
      </x:c>
      <x:c r="Q30" s="28"/>
      <x:c r="R30" s="26" t="str">
        <x:v>https://ind.nl/en/residence-permits/au-pair-and-exchange/residence-permit-au-pair</x:v>
      </x:c>
    </x:row>
    <x:row r="31" ht="54" customHeight="1">
      <x:c r="A31" s="26" t="str">
        <x:v>C</x:v>
      </x:c>
      <x:c r="B31" s="26" t="str">
        <x:v>荷兰</x:v>
      </x:c>
      <x:c r="C31" s="26" t="str">
        <x:v>Seasonal work</x:v>
      </x:c>
      <x:c r="D31" s="26" t="str">
        <x:v>雇主季节工</x:v>
      </x:c>
      <x:c r="E31" s="26" t="n">
        <x:v>43</x:v>
      </x:c>
      <x:c r="F31" s="26" t="str">
        <x:v>是</x:v>
      </x:c>
      <x:c r="G31" s="26" t="str">
        <x:v>需雇主/担保</x:v>
      </x:c>
      <x:c r="H31" s="26" t="str">
        <x:v>是</x:v>
      </x:c>
      <x:c r="I31" s="26" t="str">
        <x:v>无青年专属上限</x:v>
      </x:c>
      <x:c r="J31" s="26" t="str">
        <x:v>最长24周</x:v>
      </x:c>
      <x:c r="K31" s="26" t="str">
        <x:v>岗位相关</x:v>
      </x:c>
      <x:c r="L31" s="26" t="str">
        <x:v>雇主/许可/住房成本</x:v>
      </x:c>
      <x:c r="M31" s="26" t="str">
        <x:v>按季节</x:v>
      </x:c>
      <x:c r="N31" s="26" t="str">
        <x:v>农业园艺；欧盟优先招聘和劳动力测试</x:v>
      </x:c>
      <x:c r="O31" s="26" t="str">
        <x:v>仅对明确招非欧盟雇主推进</x:v>
      </x:c>
      <x:c r="P31" s="27" t="str">
        <x:v>未开始</x:v>
      </x:c>
      <x:c r="Q31" s="28"/>
      <x:c r="R31" s="26" t="str">
        <x:v>https://ind.nl/en/residence-permits/work/residence-permit-for-seasonal-work</x:v>
      </x:c>
    </x:row>
    <x:row r="32" ht="54" customHeight="1">
      <x:c r="A32" s="30" t="str">
        <x:v>B</x:v>
      </x:c>
      <x:c r="B32" s="30" t="str">
        <x:v>奥地利</x:v>
      </x:c>
      <x:c r="C32" s="30" t="str">
        <x:v>Au pair</x:v>
      </x:c>
      <x:c r="D32" s="30" t="str">
        <x:v>住家文化交流</x:v>
      </x:c>
      <x:c r="E32" s="30" t="n">
        <x:v>57</x:v>
      </x:c>
      <x:c r="F32" s="26" t="str">
        <x:v>是</x:v>
      </x:c>
      <x:c r="G32" s="26" t="str">
        <x:v>需家庭/机构</x:v>
      </x:c>
      <x:c r="H32" s="26" t="str">
        <x:v>是</x:v>
      </x:c>
      <x:c r="I32" s="26" t="str">
        <x:v>18–27</x:v>
      </x:c>
      <x:c r="J32" s="26" t="str">
        <x:v>过去5年合计通常最多1年</x:v>
      </x:c>
      <x:c r="K32" s="26" t="str">
        <x:v>德语基础</x:v>
      </x:c>
      <x:c r="L32" s="26" t="str">
        <x:v>家庭食宿/零用钱；费动态</x:v>
      </x:c>
      <x:c r="M32" s="26" t="str">
        <x:v>全年匹配</x:v>
      </x:c>
      <x:c r="N32" s="26" t="str">
        <x:v>家庭须向AMS申报</x:v>
      </x:c>
      <x:c r="O32" s="26" t="str">
        <x:v>28岁前完成匹配和申报</x:v>
      </x:c>
      <x:c r="P32" s="27" t="str">
        <x:v>未开始</x:v>
      </x:c>
      <x:c r="Q32" s="28"/>
      <x:c r="R32" s="26" t="str">
        <x:v>https://www.ams.at/unternehmen/service-zur-personalsuche/beschaeftigung-auslaendischer-arbeitskraefte/volontariat--ferial--oder-berufspraktikum-und-au-pair</x:v>
      </x:c>
    </x:row>
    <x:row r="33" ht="54" customHeight="1">
      <x:c r="A33" s="30" t="str">
        <x:v>B</x:v>
      </x:c>
      <x:c r="B33" s="30" t="str">
        <x:v>奥地利</x:v>
      </x:c>
      <x:c r="C33" s="30" t="str">
        <x:v>Seasonal worker</x:v>
      </x:c>
      <x:c r="D33" s="30" t="str">
        <x:v>雇主季节工</x:v>
      </x:c>
      <x:c r="E33" s="30" t="n">
        <x:v>55</x:v>
      </x:c>
      <x:c r="F33" s="26" t="str">
        <x:v>是</x:v>
      </x:c>
      <x:c r="G33" s="26" t="str">
        <x:v>需雇主/担保</x:v>
      </x:c>
      <x:c r="H33" s="26" t="str">
        <x:v>是</x:v>
      </x:c>
      <x:c r="I33" s="26" t="str">
        <x:v>无青年专属上限</x:v>
      </x:c>
      <x:c r="J33" s="26" t="str">
        <x:v>单次通常6个月；12月内最多9个月</x:v>
      </x:c>
      <x:c r="K33" s="26" t="str">
        <x:v>岗位相关</x:v>
      </x:c>
      <x:c r="L33" s="26" t="str">
        <x:v>C/D签证与许可费用</x:v>
      </x:c>
      <x:c r="M33" s="26" t="str">
        <x:v>受配额</x:v>
      </x:c>
      <x:c r="N33" s="26" t="str">
        <x:v>雇主向AMS申请配额许可并过劳动力测试</x:v>
      </x:c>
      <x:c r="O33" s="26" t="str">
        <x:v>投旅游/农业/林业岗位</x:v>
      </x:c>
      <x:c r="P33" s="27" t="str">
        <x:v>未开始</x:v>
      </x:c>
      <x:c r="Q33" s="28"/>
      <x:c r="R33" s="26" t="str">
        <x:v>https://www.migration.gv.at/en/types-of-immigration/fixed-term-employment/seasonal-workers/</x:v>
      </x:c>
    </x:row>
    <x:row r="34" ht="54" customHeight="1">
      <x:c r="A34" s="30" t="str">
        <x:v>B</x:v>
      </x:c>
      <x:c r="B34" s="30" t="str">
        <x:v>比利时</x:v>
      </x:c>
      <x:c r="C34" s="30" t="str">
        <x:v>Au pair</x:v>
      </x:c>
      <x:c r="D34" s="30" t="str">
        <x:v>住家文化交流</x:v>
      </x:c>
      <x:c r="E34" s="30" t="n">
        <x:v>54</x:v>
      </x:c>
      <x:c r="F34" s="26" t="str">
        <x:v>是</x:v>
      </x:c>
      <x:c r="G34" s="31" t="str">
        <x:v>年龄紧急</x:v>
      </x:c>
      <x:c r="H34" s="31" t="str">
        <x:v>是</x:v>
      </x:c>
      <x:c r="I34" s="31" t="str">
        <x:v>多区通常18–25</x:v>
      </x:c>
      <x:c r="J34" s="26" t="str">
        <x:v>最长1年</x:v>
      </x:c>
      <x:c r="K34" s="26" t="str">
        <x:v>语言课程要求</x:v>
      </x:c>
      <x:c r="L34" s="26" t="str">
        <x:v>联邦基准零用钱≥€450；按地区重查</x:v>
      </x:c>
      <x:c r="M34" s="26" t="str">
        <x:v>全年匹配</x:v>
      </x:c>
      <x:c r="N34" s="26" t="str">
        <x:v>Brussels/Flanders/Wallonia规则不同</x:v>
      </x:c>
      <x:c r="O34" s="26" t="str">
        <x:v>选城市后查对应大区规则</x:v>
      </x:c>
      <x:c r="P34" s="27" t="str">
        <x:v>未开始</x:v>
      </x:c>
      <x:c r="Q34" s="28"/>
      <x:c r="R34" s="26" t="str">
        <x:v>https://employment.belgium.be/en/themes/international/foreign-workers/au-pair-work-belgium</x:v>
      </x:c>
    </x:row>
    <x:row r="35" ht="54" customHeight="1">
      <x:c r="A35" s="26" t="str">
        <x:v>C</x:v>
      </x:c>
      <x:c r="B35" s="26" t="str">
        <x:v>比利时</x:v>
      </x:c>
      <x:c r="C35" s="26" t="str">
        <x:v>Seasonal worker</x:v>
      </x:c>
      <x:c r="D35" s="26" t="str">
        <x:v>雇主季节工</x:v>
      </x:c>
      <x:c r="E35" s="26" t="n">
        <x:v>47</x:v>
      </x:c>
      <x:c r="F35" s="26" t="str">
        <x:v>是</x:v>
      </x:c>
      <x:c r="G35" s="26" t="str">
        <x:v>需雇主/担保</x:v>
      </x:c>
      <x:c r="H35" s="26" t="str">
        <x:v>是</x:v>
      </x:c>
      <x:c r="I35" s="26" t="str">
        <x:v>无青年专属上限</x:v>
      </x:c>
      <x:c r="J35" s="26" t="str">
        <x:v>长期最多150天/365天</x:v>
      </x:c>
      <x:c r="K35" s="26" t="str">
        <x:v>岗位相关</x:v>
      </x:c>
      <x:c r="L35" s="26" t="str">
        <x:v>许可/签证/保险/住房</x:v>
      </x:c>
      <x:c r="M35" s="26" t="str">
        <x:v>按大区和季节</x:v>
      </x:c>
      <x:c r="N35" s="26" t="str">
        <x:v>雇主向大区申请单一许可</x:v>
      </x:c>
      <x:c r="O35" s="26" t="str">
        <x:v>仅对真实offer推进</x:v>
      </x:c>
      <x:c r="P35" s="27" t="str">
        <x:v>未开始</x:v>
      </x:c>
      <x:c r="Q35" s="28"/>
      <x:c r="R35" s="26" t="str">
        <x:v>https://dofi.ibz.be/en/themes/third-country-nationals/work/seasonal-workers</x:v>
      </x:c>
    </x:row>
    <x:row r="36" ht="54" customHeight="1">
      <x:c r="A36" s="30" t="str">
        <x:v>B</x:v>
      </x:c>
      <x:c r="B36" s="30" t="str">
        <x:v>卢森堡</x:v>
      </x:c>
      <x:c r="C36" s="30" t="str">
        <x:v>Au pair</x:v>
      </x:c>
      <x:c r="D36" s="30" t="str">
        <x:v>住家文化交流</x:v>
      </x:c>
      <x:c r="E36" s="30" t="n">
        <x:v>52</x:v>
      </x:c>
      <x:c r="F36" s="26" t="str">
        <x:v>是</x:v>
      </x:c>
      <x:c r="G36" s="26" t="str">
        <x:v>需家庭/机构</x:v>
      </x:c>
      <x:c r="H36" s="26" t="str">
        <x:v>是</x:v>
      </x:c>
      <x:c r="I36" s="26" t="str">
        <x:v>18–29</x:v>
      </x:c>
      <x:c r="J36" s="26" t="str">
        <x:v>按批准与协议</x:v>
      </x:c>
      <x:c r="K36" s="26" t="str">
        <x:v>家庭语言+英语或行政语言基础</x:v>
      </x:c>
      <x:c r="L36" s="26" t="str">
        <x:v>家庭食宿/零用钱；签证费动态</x:v>
      </x:c>
      <x:c r="M36" s="26" t="str">
        <x:v>全年匹配</x:v>
      </x:c>
      <x:c r="N36" s="26" t="str">
        <x:v>先获青年部门批准，再临时居留授权/D签</x:v>
      </x:c>
      <x:c r="O36" s="26" t="str">
        <x:v>找获批家庭并准备语言证明</x:v>
      </x:c>
      <x:c r="P36" s="27" t="str">
        <x:v>未开始</x:v>
      </x:c>
      <x:c r="Q36" s="28"/>
      <x:c r="R36" s="26" t="str">
        <x:v>https://guichet.public.lu/en/citoyens/immigration/plus-3-mois/ressortissant-tiers/jeune-au-pair/au-pair-tiers.html</x:v>
      </x:c>
    </x:row>
    <x:row r="37" ht="54" customHeight="1">
      <x:c r="A37" s="30" t="str">
        <x:v>B</x:v>
      </x:c>
      <x:c r="B37" s="30" t="str">
        <x:v>瑞士</x:v>
      </x:c>
      <x:c r="C37" s="30" t="str">
        <x:v>第三国Au pair</x:v>
      </x:c>
      <x:c r="D37" s="30" t="str">
        <x:v>住家文化交流</x:v>
      </x:c>
      <x:c r="E37" s="30" t="n">
        <x:v>58</x:v>
      </x:c>
      <x:c r="F37" s="26" t="str">
        <x:v>是</x:v>
      </x:c>
      <x:c r="G37" s="31" t="str">
        <x:v>年龄紧急</x:v>
      </x:c>
      <x:c r="H37" s="31" t="str">
        <x:v>是</x:v>
      </x:c>
      <x:c r="I37" s="31" t="str">
        <x:v>18–25</x:v>
      </x:c>
      <x:c r="J37" s="26" t="str">
        <x:v>通常最长1年</x:v>
      </x:c>
      <x:c r="K37" s="26" t="str">
        <x:v>依州/家庭语言</x:v>
      </x:c>
      <x:c r="L37" s="26" t="str">
        <x:v>工资/食宿/课程/保险按州</x:v>
      </x:c>
      <x:c r="M37" s="26" t="str">
        <x:v>全年匹配</x:v>
      </x:c>
      <x:c r="N37" s="26" t="str">
        <x:v>必须SECO认可机构；先获州许可</x:v>
      </x:c>
      <x:c r="O37" s="26" t="str">
        <x:v>按生日立即核认可机构</x:v>
      </x:c>
      <x:c r="P37" s="27" t="str">
        <x:v>未开始</x:v>
      </x:c>
      <x:c r="Q37" s="28"/>
      <x:c r="R37" s="26" t="str">
        <x:v>https://www.sem.admin.ch/sem/en/home/themen/arbeit/faq.0006.html</x:v>
      </x:c>
    </x:row>
    <x:row r="38" ht="54" customHeight="1">
      <x:c r="A38" s="30" t="str">
        <x:v>B</x:v>
      </x:c>
      <x:c r="B38" s="30" t="str">
        <x:v>葡萄牙</x:v>
      </x:c>
      <x:c r="C38" s="30" t="str">
        <x:v>临时/季节受雇签证</x:v>
      </x:c>
      <x:c r="D38" s="30" t="str">
        <x:v>雇主临时工</x:v>
      </x:c>
      <x:c r="E38" s="30" t="n">
        <x:v>53</x:v>
      </x:c>
      <x:c r="F38" s="26" t="str">
        <x:v>是</x:v>
      </x:c>
      <x:c r="G38" s="26" t="str">
        <x:v>需雇主/担保</x:v>
      </x:c>
      <x:c r="H38" s="26" t="str">
        <x:v>是</x:v>
      </x:c>
      <x:c r="I38" s="26" t="str">
        <x:v>无青年专属上限</x:v>
      </x:c>
      <x:c r="J38" s="26" t="str">
        <x:v>不足1年</x:v>
      </x:c>
      <x:c r="K38" s="26" t="str">
        <x:v>岗位相关</x:v>
      </x:c>
      <x:c r="L38" s="26" t="str">
        <x:v>当前服务页€75；需保险/住宿/资金</x:v>
      </x:c>
      <x:c r="M38" s="26" t="str">
        <x:v>按季节</x:v>
      </x:c>
      <x:c r="N38" s="26" t="str">
        <x:v>先有合同/承诺和IEFP相关文件</x:v>
      </x:c>
      <x:c r="O38" s="26" t="str">
        <x:v>从IEFP找愿办许可雇主</x:v>
      </x:c>
      <x:c r="P38" s="27" t="str">
        <x:v>未开始</x:v>
      </x:c>
      <x:c r="Q38" s="28"/>
      <x:c r="R38" s="26" t="str">
        <x:v>https://www.gov.pt/servicos/pedir-um-visto-de-estada-temporaria-para-trabalho-subordinado-ou-independente</x:v>
      </x:c>
    </x:row>
    <x:row r="39" ht="54" customHeight="1">
      <x:c r="A39" s="30" t="str">
        <x:v>B</x:v>
      </x:c>
      <x:c r="B39" s="30" t="str">
        <x:v>克罗地亚</x:v>
      </x:c>
      <x:c r="C39" s="30" t="str">
        <x:v>Seasonal worker</x:v>
      </x:c>
      <x:c r="D39" s="30" t="str">
        <x:v>雇主季节工</x:v>
      </x:c>
      <x:c r="E39" s="30" t="n">
        <x:v>50</x:v>
      </x:c>
      <x:c r="F39" s="26" t="str">
        <x:v>是</x:v>
      </x:c>
      <x:c r="G39" s="26" t="str">
        <x:v>需雇主/担保</x:v>
      </x:c>
      <x:c r="H39" s="26" t="str">
        <x:v>是</x:v>
      </x:c>
      <x:c r="I39" s="26" t="str">
        <x:v>无青年专属上限</x:v>
      </x:c>
      <x:c r="J39" s="26" t="str">
        <x:v>每年最长6个月</x:v>
      </x:c>
      <x:c r="K39" s="26" t="str">
        <x:v>岗位相关</x:v>
      </x:c>
      <x:c r="L39" s="26" t="str">
        <x:v>工资/住房/许可成本</x:v>
      </x:c>
      <x:c r="M39" s="26" t="str">
        <x:v>按季节</x:v>
      </x:c>
      <x:c r="N39" s="26" t="str">
        <x:v>农业/林业/酒店餐饮/旅游；雇主办许可</x:v>
      </x:c>
      <x:c r="O39" s="26" t="str">
        <x:v>投明确招第三国人员的雇主</x:v>
      </x:c>
      <x:c r="P39" s="27" t="str">
        <x:v>未开始</x:v>
      </x:c>
      <x:c r="Q39" s="28"/>
      <x:c r="R39" s="26" t="str">
        <x:v>https://mup.gov.hr/aliens-281621/stay-and-work/seasonal-workers/281670</x:v>
      </x:c>
    </x:row>
    <x:row r="40" ht="54" customHeight="1">
      <x:c r="A40" s="26" t="str">
        <x:v>C</x:v>
      </x:c>
      <x:c r="B40" s="26" t="str">
        <x:v>日本</x:v>
      </x:c>
      <x:c r="C40" s="26" t="str">
        <x:v>特定技能1号</x:v>
      </x:c>
      <x:c r="D40" s="26" t="str">
        <x:v>技能就业</x:v>
      </x:c>
      <x:c r="E40" s="26" t="n">
        <x:v>49</x:v>
      </x:c>
      <x:c r="F40" s="26" t="str">
        <x:v>是</x:v>
      </x:c>
      <x:c r="G40" s="26" t="str">
        <x:v>需考试与雇主</x:v>
      </x:c>
      <x:c r="H40" s="26" t="str">
        <x:v>是</x:v>
      </x:c>
      <x:c r="I40" s="26" t="str">
        <x:v>通常18+</x:v>
      </x:c>
      <x:c r="J40" s="26" t="str">
        <x:v>累计最长5年</x:v>
      </x:c>
      <x:c r="K40" s="26" t="str">
        <x:v>JFT-Basic或JLPT N4；部分N3</x:v>
      </x:c>
      <x:c r="L40" s="26" t="str">
        <x:v>考试/签证/搬迁成本</x:v>
      </x:c>
      <x:c r="M40" s="26" t="str">
        <x:v>按考试与招聘</x:v>
      </x:c>
      <x:c r="N40" s="26" t="str">
        <x:v>需行业技能考试；非旅游工作</x:v>
      </x:c>
      <x:c r="O40" s="26" t="str">
        <x:v>选领域并准备日语和技能考试</x:v>
      </x:c>
      <x:c r="P40" s="27" t="str">
        <x:v>未开始</x:v>
      </x:c>
      <x:c r="Q40" s="28"/>
      <x:c r="R40" s="26" t="str">
        <x:v>https://www.ssw.go.jp/en/about/visa/</x:v>
      </x:c>
    </x:row>
    <x:row r="41" ht="54" customHeight="1">
      <x:c r="A41" s="31" t="str">
        <x:v>不适用</x:v>
      </x:c>
      <x:c r="B41" s="31" t="str">
        <x:v>日本</x:v>
      </x:c>
      <x:c r="C41" s="31" t="str">
        <x:v>Working Holiday</x:v>
      </x:c>
      <x:c r="D41" s="31" t="str">
        <x:v>Working Holiday</x:v>
      </x:c>
      <x:c r="E41" s="31" t="n">
        <x:v>5</x:v>
      </x:c>
      <x:c r="F41" s="26" t="str">
        <x:v>否</x:v>
      </x:c>
      <x:c r="G41" s="26" t="str">
        <x:v>当前不符合</x:v>
      </x:c>
      <x:c r="H41" s="26" t="str">
        <x:v>否</x:v>
      </x:c>
      <x:c r="I41" s="26" t="str">
        <x:v>按伙伴国</x:v>
      </x:c>
      <x:c r="J41" s="26" t="str">
        <x:v>通常1年</x:v>
      </x:c>
      <x:c r="K41" s="26" t="str">
        <x:v>依国籍</x:v>
      </x:c>
      <x:c r="L41" s="26" t="str">
        <x:v>动态</x:v>
      </x:c>
      <x:c r="M41" s="26" t="str">
        <x:v>伙伴名单制</x:v>
      </x:c>
      <x:c r="N41" s="26" t="str">
        <x:v>大陆普通护照不在伙伴名单</x:v>
      </x:c>
      <x:c r="O41" s="26" t="str">
        <x:v>不投入</x:v>
      </x:c>
      <x:c r="P41" s="27" t="str">
        <x:v>未开始</x:v>
      </x:c>
      <x:c r="Q41" s="28"/>
      <x:c r="R41" s="26" t="str">
        <x:v>https://www.mofa.go.jp/j_info/visit/w_holiday/index.html</x:v>
      </x:c>
    </x:row>
    <x:row r="42" ht="54" customHeight="1">
      <x:c r="A42" s="26" t="str">
        <x:v>C</x:v>
      </x:c>
      <x:c r="B42" s="26" t="str">
        <x:v>韩国</x:v>
      </x:c>
      <x:c r="C42" s="26" t="str">
        <x:v>EPS E-9</x:v>
      </x:c>
      <x:c r="D42" s="26" t="str">
        <x:v>政府劳务就业</x:v>
      </x:c>
      <x:c r="E42" s="26" t="n">
        <x:v>43</x:v>
      </x:c>
      <x:c r="F42" s="26" t="str">
        <x:v>有条件</x:v>
      </x:c>
      <x:c r="G42" s="26" t="str">
        <x:v>需考试与雇主</x:v>
      </x:c>
      <x:c r="H42" s="26" t="str">
        <x:v>是</x:v>
      </x:c>
      <x:c r="I42" s="26" t="str">
        <x:v>按当批公告</x:v>
      </x:c>
      <x:c r="J42" s="26" t="str">
        <x:v>按合同/签证</x:v>
      </x:c>
      <x:c r="K42" s="26" t="str">
        <x:v>EPS-TOPIK等</x:v>
      </x:c>
      <x:c r="L42" s="26" t="str">
        <x:v>按中国端官方批次</x:v>
      </x:c>
      <x:c r="M42" s="26" t="str">
        <x:v>批次制</x:v>
      </x:c>
      <x:c r="N42" s="26" t="str">
        <x:v>政府就业流程；行业/雇主绑定；非旅游工作</x:v>
      </x:c>
      <x:c r="O42" s="26" t="str">
        <x:v>核中国端当期官方招录</x:v>
      </x:c>
      <x:c r="P42" s="27" t="str">
        <x:v>未开始</x:v>
      </x:c>
      <x:c r="Q42" s="28"/>
      <x:c r="R42" s="26" t="str">
        <x:v>https://www.eps.go.kr/eo/langMain.eo</x:v>
      </x:c>
    </x:row>
    <x:row r="43" ht="54" customHeight="1">
      <x:c r="A43" s="31" t="str">
        <x:v>不适用</x:v>
      </x:c>
      <x:c r="B43" s="31" t="str">
        <x:v>韩国</x:v>
      </x:c>
      <x:c r="C43" s="31" t="str">
        <x:v>Working Holiday H-1</x:v>
      </x:c>
      <x:c r="D43" s="31" t="str">
        <x:v>Working Holiday</x:v>
      </x:c>
      <x:c r="E43" s="31" t="n">
        <x:v>5</x:v>
      </x:c>
      <x:c r="F43" s="26" t="str">
        <x:v>否</x:v>
      </x:c>
      <x:c r="G43" s="26" t="str">
        <x:v>当前不符合</x:v>
      </x:c>
      <x:c r="H43" s="26" t="str">
        <x:v>否</x:v>
      </x:c>
      <x:c r="I43" s="26" t="str">
        <x:v>按伙伴国</x:v>
      </x:c>
      <x:c r="J43" s="26" t="str">
        <x:v>通常1年</x:v>
      </x:c>
      <x:c r="K43" s="26" t="str">
        <x:v>依国籍</x:v>
      </x:c>
      <x:c r="L43" s="26" t="str">
        <x:v>动态</x:v>
      </x:c>
      <x:c r="M43" s="26" t="str">
        <x:v>伙伴名单制</x:v>
      </x:c>
      <x:c r="N43" s="26" t="str">
        <x:v>大陆普通护照不在伙伴名单</x:v>
      </x:c>
      <x:c r="O43" s="26" t="str">
        <x:v>不投入</x:v>
      </x:c>
      <x:c r="P43" s="27" t="str">
        <x:v>未开始</x:v>
      </x:c>
      <x:c r="Q43" s="28"/>
      <x:c r="R43" s="26" t="str">
        <x:v>https://whic.mofa.go.kr/contents.do?contentsNo=38</x:v>
      </x:c>
    </x:row>
    <x:row r="44" ht="54" customHeight="1">
      <x:c r="A44" s="31" t="str">
        <x:v>不适用</x:v>
      </x:c>
      <x:c r="B44" s="31" t="str">
        <x:v>加拿大</x:v>
      </x:c>
      <x:c r="C44" s="31" t="str">
        <x:v>IEC Working Holiday</x:v>
      </x:c>
      <x:c r="D44" s="31" t="str">
        <x:v>青年流动</x:v>
      </x:c>
      <x:c r="E44" s="31" t="n">
        <x:v>5</x:v>
      </x:c>
      <x:c r="F44" s="26" t="str">
        <x:v>否</x:v>
      </x:c>
      <x:c r="G44" s="26" t="str">
        <x:v>当前不符合</x:v>
      </x:c>
      <x:c r="H44" s="26" t="str">
        <x:v>否</x:v>
      </x:c>
      <x:c r="I44" s="26" t="str">
        <x:v>按伙伴国</x:v>
      </x:c>
      <x:c r="J44" s="26" t="str">
        <x:v>按类别</x:v>
      </x:c>
      <x:c r="K44" s="26" t="str">
        <x:v>依国籍</x:v>
      </x:c>
      <x:c r="L44" s="26" t="str">
        <x:v>动态</x:v>
      </x:c>
      <x:c r="M44" s="26" t="str">
        <x:v>伙伴名单制</x:v>
      </x:c>
      <x:c r="N44" s="26" t="str">
        <x:v>大陆普通护照不在IEC名单</x:v>
      </x:c>
      <x:c r="O44" s="26" t="str">
        <x:v>不投入</x:v>
      </x:c>
      <x:c r="P44" s="27" t="str">
        <x:v>未开始</x:v>
      </x:c>
      <x:c r="Q44" s="28"/>
      <x:c r="R44" s="26" t="str">
        <x:v>https://www.canada.ca/en/immigration-refugees-citizenship/services/work-canada/iec/eligibility.html</x:v>
      </x:c>
    </x:row>
    <x:row r="45" ht="54" customHeight="1">
      <x:c r="A45" s="31" t="str">
        <x:v>不适用</x:v>
      </x:c>
      <x:c r="B45" s="31" t="str">
        <x:v>新加坡</x:v>
      </x:c>
      <x:c r="C45" s="31" t="str">
        <x:v>Work Holiday Programme</x:v>
      </x:c>
      <x:c r="D45" s="31" t="str">
        <x:v>青年流动</x:v>
      </x:c>
      <x:c r="E45" s="31" t="n">
        <x:v>8</x:v>
      </x:c>
      <x:c r="F45" s="26" t="str">
        <x:v>否</x:v>
      </x:c>
      <x:c r="G45" s="26" t="str">
        <x:v>当前不符合</x:v>
      </x:c>
      <x:c r="H45" s="26" t="str">
        <x:v>否</x:v>
      </x:c>
      <x:c r="I45" s="26" t="str">
        <x:v>18–25</x:v>
      </x:c>
      <x:c r="J45" s="26" t="str">
        <x:v>最长6个月</x:v>
      </x:c>
      <x:c r="K45" s="26" t="str">
        <x:v>无统一考试</x:v>
      </x:c>
      <x:c r="L45" s="26" t="str">
        <x:v>动态</x:v>
      </x:c>
      <x:c r="M45" s="26" t="str">
        <x:v>总容量限制</x:v>
      </x:c>
      <x:c r="N45" s="26" t="str">
        <x:v>须毕业于指定国家/地区大学；中南大学不符合</x:v>
      </x:c>
      <x:c r="O45" s="26" t="str">
        <x:v>不投入</x:v>
      </x:c>
      <x:c r="P45" s="27" t="str">
        <x:v>未开始</x:v>
      </x:c>
      <x:c r="Q45" s="28"/>
      <x:c r="R45" s="26" t="str">
        <x:v>https://www.mom.gov.sg/passes-and-permits/work-holiday-programme/eligibility</x:v>
      </x:c>
    </x:row>
    <x:row r="46" ht="54" customHeight="1">
      <x:c r="A46" s="26" t="str">
        <x:v>C</x:v>
      </x:c>
      <x:c r="B46" s="26" t="str">
        <x:v>新加坡</x:v>
      </x:c>
      <x:c r="C46" s="26" t="str">
        <x:v>Work Permit</x:v>
      </x:c>
      <x:c r="D46" s="26" t="str">
        <x:v>雇主劳工许可</x:v>
      </x:c>
      <x:c r="E46" s="26" t="n">
        <x:v>38</x:v>
      </x:c>
      <x:c r="F46" s="26" t="str">
        <x:v>有条件</x:v>
      </x:c>
      <x:c r="G46" s="26" t="str">
        <x:v>需雇主/担保</x:v>
      </x:c>
      <x:c r="H46" s="26" t="str">
        <x:v>是</x:v>
      </x:c>
      <x:c r="I46" s="26" t="str">
        <x:v>按行业规则</x:v>
      </x:c>
      <x:c r="J46" s="26" t="str">
        <x:v>按许可</x:v>
      </x:c>
      <x:c r="K46" s="26" t="str">
        <x:v>岗位相关</x:v>
      </x:c>
      <x:c r="L46" s="26" t="str">
        <x:v>雇主承担levy等；个人成本核对</x:v>
      </x:c>
      <x:c r="M46" s="26" t="str">
        <x:v>配额制</x:v>
      </x:c>
      <x:c r="N46" s="26" t="str">
        <x:v>仅部分行业/来源国；强雇主绑定；非旅游工作</x:v>
      </x:c>
      <x:c r="O46" s="26" t="str">
        <x:v>仅对真实雇主offer推进</x:v>
      </x:c>
      <x:c r="P46" s="27" t="str">
        <x:v>未开始</x:v>
      </x:c>
      <x:c r="Q46" s="28"/>
      <x:c r="R46" s="26" t="str">
        <x:v>https://www.mom.gov.sg/passes-and-permits/work-permit-for-foreign-worker/sector-specific-rules/services-sector-requirements</x:v>
      </x:c>
    </x:row>
  </x:sheetData>
  <x:mergeCells>
    <x:mergeCell ref="A1:R1"/>
    <x:mergeCell ref="A2:R2"/>
    <x:mergeCell ref="A6:R6"/>
  </x:mergeCells>
  <x:dataValidations count="1">
    <x:dataValidation type="list" sqref="P8:P46">
      <x:formula1>"未开始,进行中,等待结果,已完成,放弃"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48" hidden="0" customWidth="1"/>
    <x:col min="4" max="4" width="18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个人画像（黄色单元格请填写）</x:v>
      </x:c>
      <x:c r="B1" s="3"/>
      <x:c r="C1" s="3"/>
      <x:c r="D1" s="3"/>
      <x:c r="E1" s="3"/>
      <x:c r="F1" s="3"/>
    </x:row>
    <x:row r="2" ht="32" customHeight="1">
      <x:c r="A2" s="7" t="str">
        <x:v>公式提示只做初筛；空白项补齐后再决定投入顺序。日期请用 YYYY-MM-DD。</x:v>
      </x:c>
      <x:c r="B2" s="7"/>
      <x:c r="C2" s="7"/>
      <x:c r="D2" s="7"/>
      <x:c r="E2" s="7"/>
      <x:c r="F2" s="7"/>
    </x:row>
    <x:row r="4" ht="34" customHeight="1">
      <x:c r="A4" s="22" t="str">
        <x:v>字段</x:v>
      </x:c>
      <x:c r="B4" s="22" t="str">
        <x:v>你的信息</x:v>
      </x:c>
      <x:c r="C4" s="22" t="str">
        <x:v>为什么重要</x:v>
      </x:c>
      <x:c r="D4" s="22" t="str">
        <x:v>自动初筛提示</x:v>
      </x:c>
      <x:c r="E4" s="22"/>
      <x:c r="F4" s="22"/>
    </x:row>
    <x:row r="5" ht="28" customHeight="1">
      <x:c r="A5" s="26" t="str">
        <x:v>国籍</x:v>
      </x:c>
      <x:c r="B5" s="27" t="str">
        <x:v>中国</x:v>
      </x:c>
      <x:c r="C5" s="26" t="str">
        <x:v>决定WHV伙伴资格</x:v>
      </x:c>
      <x:c r="D5" s="26" t="str">
        <x:v>高才通方向</x:v>
      </x:c>
      <x:c r="E5" s="32" t="str">
        <x:f>IF(B15="","待填工作月数",IF(B15&lt;36,"C类经验方向","B类经验方向"))</x:f>
        <x:v>待填工作月数</x:v>
      </x:c>
      <x:c r="F5" s="32"/>
    </x:row>
    <x:row r="6" ht="28" customHeight="1">
      <x:c r="A6" s="26" t="str">
        <x:v>护照类型</x:v>
      </x:c>
      <x:c r="B6" s="27" t="str">
        <x:v>中国大陆普通护照</x:v>
      </x:c>
      <x:c r="C6" s="26" t="str">
        <x:v>港澳台或第二护照会改变结论</x:v>
      </x:c>
      <x:c r="D6" s="26" t="str">
        <x:v>澳洲英语</x:v>
      </x:c>
      <x:c r="E6" s="32" t="str">
        <x:f>IF(OR(B17&gt;=4.5,B18&gt;=32,B19&gt;=30),"可能满足","待补有效英语成绩")</x:f>
        <x:v>待补有效英语成绩</x:v>
      </x:c>
      <x:c r="F6" s="32"/>
    </x:row>
    <x:row r="7" ht="28" customHeight="1">
      <x:c r="A7" s="26" t="str">
        <x:v>出生日期</x:v>
      </x:c>
      <x:c r="B7" s="28"/>
      <x:c r="C7" s="26" t="str">
        <x:v>决定荷兰/瑞士/比利时/美德au pair截止</x:v>
      </x:c>
      <x:c r="D7" s="26" t="str">
        <x:v>新西兰英语</x:v>
      </x:c>
      <x:c r="E7" s="32" t="str">
        <x:f>IF(OR(B17&gt;=5.5,B18&gt;=46,B19&gt;=42),"可能满足","待补有效英语成绩")</x:f>
        <x:v>待补有效英语成绩</x:v>
      </x:c>
      <x:c r="F7" s="32"/>
    </x:row>
    <x:row r="8" ht="28" customHeight="1">
      <x:c r="A8" s="26" t="str">
        <x:v>当前年龄</x:v>
      </x:c>
      <x:c r="B8" s="27" t="n">
        <x:v>24</x:v>
      </x:c>
      <x:c r="C8" s="26" t="str">
        <x:v>初筛基准</x:v>
      </x:c>
      <x:c r="D8" s="26" t="str">
        <x:v>Au pair路线</x:v>
      </x:c>
      <x:c r="E8" s="32" t="str">
        <x:f>IF(B25="是","纳入多国au pair",IF(B25="否","排除au pair","请填写意愿"))</x:f>
        <x:v>请填写意愿</x:v>
      </x:c>
      <x:c r="F8" s="32"/>
    </x:row>
    <x:row r="9" ht="28" customHeight="1">
      <x:c r="A9" s="26" t="str">
        <x:v>常住地</x:v>
      </x:c>
      <x:c r="B9" s="27"/>
      <x:c r="C9" s="26" t="str">
        <x:v>新西兰要求申请时居住中国</x:v>
      </x:c>
      <x:c r="D9" s="26" t="str">
        <x:v>年龄提醒</x:v>
      </x:c>
      <x:c r="E9" s="32" t="str">
        <x:f>IF(B8&lt;=24,"荷兰/瑞士/比利时/美国等仍有窗口","立即按生日核对上限")</x:f>
        <x:v>荷兰/瑞士/比利时/美国等仍有窗口</x:v>
      </x:c>
      <x:c r="F9" s="32"/>
    </x:row>
    <x:row r="10" ht="28" customHeight="1">
      <x:c r="A10" s="26" t="str">
        <x:v>学校</x:v>
      </x:c>
      <x:c r="B10" s="27" t="str">
        <x:v>中南大学</x:v>
      </x:c>
      <x:c r="C10" s="26" t="str">
        <x:v>香港名单已确认；德国仍需学位可比性</x:v>
      </x:c>
    </x:row>
    <x:row r="11" ht="28" customHeight="1">
      <x:c r="A11" s="26" t="str">
        <x:v>学位</x:v>
      </x:c>
      <x:c r="B11" s="27" t="str">
        <x:v>学士</x:v>
      </x:c>
      <x:c r="C11" s="26" t="str">
        <x:v>香港/澳洲/德国/美国培训路线</x:v>
      </x:c>
    </x:row>
    <x:row r="12" ht="28" customHeight="1">
      <x:c r="A12" s="26" t="str">
        <x:v>专业</x:v>
      </x:c>
      <x:c r="B12" s="27"/>
      <x:c r="C12" s="26" t="str">
        <x:v>德国机会卡、美国Trainee、日本特定技能</x:v>
      </x:c>
    </x:row>
    <x:row r="13" ht="28" customHeight="1">
      <x:c r="A13" s="26" t="str">
        <x:v>毕业日期</x:v>
      </x:c>
      <x:c r="B13" s="28" t="n">
        <x:v>45473</x:v>
      </x:c>
      <x:c r="C13" s="26" t="str">
        <x:v>高才通按毕业年份；美德实习按时长</x:v>
      </x:c>
    </x:row>
    <x:row r="14" ht="28" customHeight="1">
      <x:c r="A14" s="26" t="str">
        <x:v>是否全日制</x:v>
      </x:c>
      <x:c r="B14" s="27"/>
      <x:c r="C14" s="26" t="str">
        <x:v>学历项目核验</x:v>
      </x:c>
    </x:row>
    <x:row r="15" ht="28" customHeight="1">
      <x:c r="A15" s="26" t="str">
        <x:v>毕业后全职/自雇月数</x:v>
      </x:c>
      <x:c r="B15" s="27"/>
      <x:c r="C15" s="26" t="str">
        <x:v>高才通C&lt;36月，B≥36月</x:v>
      </x:c>
    </x:row>
    <x:row r="16" ht="28" customHeight="1">
      <x:c r="A16" s="26" t="str">
        <x:v>相关工作月数</x:v>
      </x:c>
      <x:c r="B16" s="27"/>
      <x:c r="C16" s="26" t="str">
        <x:v>美国J-1 Trainee通常需至少12月</x:v>
      </x:c>
    </x:row>
    <x:row r="17" ht="28" customHeight="1">
      <x:c r="A17" s="26" t="str">
        <x:v>IELTS总分</x:v>
      </x:c>
      <x:c r="B17" s="27"/>
      <x:c r="C17" s="26" t="str">
        <x:v>澳洲4.5；新西兰5.5</x:v>
      </x:c>
    </x:row>
    <x:row r="18" ht="28" customHeight="1">
      <x:c r="A18" s="26" t="str">
        <x:v>TOEFL iBT</x:v>
      </x:c>
      <x:c r="B18" s="27"/>
      <x:c r="C18" s="26" t="str">
        <x:v>澳洲32；新西兰46</x:v>
      </x:c>
    </x:row>
    <x:row r="19" ht="28" customHeight="1">
      <x:c r="A19" s="26" t="str">
        <x:v>PTE Academic</x:v>
      </x:c>
      <x:c r="B19" s="27"/>
      <x:c r="C19" s="26" t="str">
        <x:v>澳洲30；新西兰42</x:v>
      </x:c>
    </x:row>
    <x:row r="20" ht="28" customHeight="1">
      <x:c r="A20" s="26" t="str">
        <x:v>德语水平</x:v>
      </x:c>
      <x:c r="B20" s="27"/>
      <x:c r="C20" s="26" t="str">
        <x:v>德国au pair通常A1；机会卡求职建议</x:v>
      </x:c>
    </x:row>
    <x:row r="21" ht="28" customHeight="1">
      <x:c r="A21" s="26" t="str">
        <x:v>法语水平</x:v>
      </x:c>
      <x:c r="B21" s="27"/>
      <x:c r="C21" s="26" t="str">
        <x:v>法国au pair</x:v>
      </x:c>
    </x:row>
    <x:row r="22" ht="28" customHeight="1">
      <x:c r="A22" s="26" t="str">
        <x:v>日语水平</x:v>
      </x:c>
      <x:c r="B22" s="27"/>
      <x:c r="C22" s="26" t="str">
        <x:v>日本特定技能通常N4/JFT-Basic</x:v>
      </x:c>
    </x:row>
    <x:row r="23" ht="28" customHeight="1">
      <x:c r="A23" s="26" t="str">
        <x:v>韩语水平</x:v>
      </x:c>
      <x:c r="B23" s="27"/>
      <x:c r="C23" s="26" t="str">
        <x:v>韩国EPS</x:v>
      </x:c>
    </x:row>
    <x:row r="24" ht="28" customHeight="1">
      <x:c r="A24" s="26" t="str">
        <x:v>可动用资金（RMB）</x:v>
      </x:c>
      <x:c r="B24" s="27"/>
      <x:c r="C24" s="26" t="str">
        <x:v>机会卡/WHV资金证明与落地缓冲</x:v>
      </x:c>
    </x:row>
    <x:row r="25" ht="28" customHeight="1">
      <x:c r="A25" s="26" t="str">
        <x:v>是否愿意Au pair</x:v>
      </x:c>
      <x:c r="B25" s="27"/>
      <x:c r="C25" s="26" t="str">
        <x:v>决定是否保留多国住家照护路线</x:v>
      </x:c>
    </x:row>
    <x:row r="26" ht="28" customHeight="1">
      <x:c r="A26" s="26" t="str">
        <x:v>儿童照护小时</x:v>
      </x:c>
      <x:c r="B26" s="27"/>
      <x:c r="C26" s="26" t="str">
        <x:v>美欧au pair匹配</x:v>
      </x:c>
    </x:row>
    <x:row r="27" ht="28" customHeight="1">
      <x:c r="A27" s="26" t="str">
        <x:v>是否有驾照</x:v>
      </x:c>
      <x:c r="B27" s="27"/>
      <x:c r="C27" s="26" t="str">
        <x:v>部分寄宿家庭/季节岗位偏好</x:v>
      </x:c>
    </x:row>
    <x:row r="28" ht="28" customHeight="1">
      <x:c r="A28" s="26" t="str">
        <x:v>最早出发日期</x:v>
      </x:c>
      <x:c r="B28" s="28"/>
      <x:c r="C28" s="26" t="str">
        <x:v>匹配季节和签证处理时间</x:v>
      </x:c>
    </x:row>
    <x:row r="29" ht="28" customHeight="1">
      <x:c r="A29" s="26" t="str">
        <x:v>首选路线</x:v>
      </x:c>
      <x:c r="B29" s="27"/>
      <x:c r="C29" s="26" t="str">
        <x:v>用于排序行动清单</x:v>
      </x:c>
    </x:row>
    <x:row r="31">
      <x:c r="A31" s="36" t="str">
        <x:v>敏感信息提醒：不要在共享表中填写完整护照号、身份证号、网银信息、验证码或账户密码。</x:v>
      </x:c>
      <x:c r="B31" s="36"/>
      <x:c r="C31" s="36"/>
      <x:c r="D31" s="36"/>
      <x:c r="E31" s="36"/>
      <x:c r="F31" s="36"/>
    </x:row>
    <x:row r="32">
      <x:c r="A32" s="36"/>
      <x:c r="B32" s="36"/>
      <x:c r="C32" s="36"/>
      <x:c r="D32" s="36"/>
      <x:c r="E32" s="36"/>
      <x:c r="F32" s="36"/>
    </x:row>
    <x:row r="33">
      <x:c r="A33" s="36"/>
      <x:c r="B33" s="36"/>
      <x:c r="C33" s="36"/>
      <x:c r="D33" s="36"/>
      <x:c r="E33" s="36"/>
      <x:c r="F33" s="36"/>
    </x:row>
    <x:row r="34">
      <x:c r="A34" s="36"/>
      <x:c r="B34" s="36"/>
      <x:c r="C34" s="36"/>
      <x:c r="D34" s="36"/>
      <x:c r="E34" s="36"/>
      <x:c r="F34" s="36"/>
    </x:row>
  </x:sheetData>
  <x:mergeCells>
    <x:mergeCell ref="A1:F1"/>
    <x:mergeCell ref="A2:F2"/>
    <x:mergeCell ref="D4:F4"/>
    <x:mergeCell ref="E5:F5"/>
    <x:mergeCell ref="E6:F6"/>
    <x:mergeCell ref="E7:F7"/>
    <x:mergeCell ref="E8:F8"/>
    <x:mergeCell ref="E9:F9"/>
    <x:mergeCell ref="A31:F31"/>
    <x:mergeCell ref="A32:F32"/>
    <x:mergeCell ref="A33:F33"/>
    <x:mergeCell ref="A34:F34"/>
  </x:mergeCells>
  <x:dataValidations count="1">
    <x:dataValidation type="list" sqref="B14">
      <x:formula1>"是,否,待确认"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46" hidden="0" customWidth="1"/>
    <x:col min="4" max="4" width="20" hidden="0" customWidth="1"/>
    <x:col min="5" max="5" width="14" hidden="0" customWidth="1"/>
    <x:col min="6" max="6" width="34" hidden="0" customWidth="1"/>
    <x:col min="7" max="7" width="48" hidden="0" customWidth="1"/>
  </x:cols>
  <x:sheetData>
    <x:row r="1" ht="34" customHeight="1">
      <x:c r="A1" s="3" t="str">
        <x:v>行动清单</x:v>
      </x:c>
      <x:c r="B1" s="3"/>
      <x:c r="C1" s="3"/>
      <x:c r="D1" s="3"/>
      <x:c r="E1" s="3"/>
      <x:c r="F1" s="3"/>
      <x:c r="G1" s="3"/>
    </x:row>
    <x:row r="2" ht="32" customHeight="1">
      <x:c r="A2" s="7" t="str">
        <x:v>按优先级执行；黄色状态列可下拉更新。</x:v>
      </x:c>
      <x:c r="B2" s="7"/>
      <x:c r="C2" s="7"/>
      <x:c r="D2" s="7"/>
      <x:c r="E2" s="7"/>
      <x:c r="F2" s="7"/>
      <x:c r="G2" s="7"/>
    </x:row>
    <x:row r="4" ht="34" customHeight="1">
      <x:c r="A4" s="22" t="str">
        <x:v>优先级</x:v>
      </x:c>
      <x:c r="B4" s="22" t="str">
        <x:v>国家/项目</x:v>
      </x:c>
      <x:c r="C4" s="22" t="str">
        <x:v>行动</x:v>
      </x:c>
      <x:c r="D4" s="22" t="str">
        <x:v>建议完成时间</x:v>
      </x:c>
      <x:c r="E4" s="22" t="str">
        <x:v>状态</x:v>
      </x:c>
      <x:c r="F4" s="22" t="str">
        <x:v>证据/文件位置</x:v>
      </x:c>
      <x:c r="G4" s="22" t="str">
        <x:v>官方入口</x:v>
      </x:c>
    </x:row>
    <x:row r="5" ht="44" customHeight="1">
      <x:c r="A5" s="26" t="str">
        <x:v>A1</x:v>
      </x:c>
      <x:c r="B5" s="26" t="str">
        <x:v>香港高才通C</x:v>
      </x:c>
      <x:c r="C5" s="26" t="str">
        <x:v>计算毕业后全职/自雇累计月数</x:v>
      </x:c>
      <x:c r="D5" s="26" t="str">
        <x:v>本周</x:v>
      </x:c>
      <x:c r="E5" s="27" t="str">
        <x:v>未开始</x:v>
      </x:c>
      <x:c r="F5" s="27" t="str"/>
      <x:c r="G5" s="26" t="str">
        <x:v>https://www.immd.gov.hk/hks/services/visas/TTPS.html</x:v>
      </x:c>
    </x:row>
    <x:row r="6" ht="44" customHeight="1">
      <x:c r="A6" s="26" t="str">
        <x:v>A1</x:v>
      </x:c>
      <x:c r="B6" s="26" t="str">
        <x:v>香港高才通C</x:v>
      </x:c>
      <x:c r="C6" s="26" t="str">
        <x:v>下载并保存含中南大学的最新合资格名单</x:v>
      </x:c>
      <x:c r="D6" s="26" t="str">
        <x:v>本周</x:v>
      </x:c>
      <x:c r="E6" s="27" t="str">
        <x:v>未开始</x:v>
      </x:c>
      <x:c r="F6" s="27" t="str"/>
      <x:c r="G6" s="26" t="str">
        <x:v>https://www.immd.gov.hk/pdf/aggregate_list.pdf</x:v>
      </x:c>
    </x:row>
    <x:row r="7" ht="44" customHeight="1">
      <x:c r="A7" s="26" t="str">
        <x:v>A1</x:v>
      </x:c>
      <x:c r="B7" s="26" t="str">
        <x:v>香港高才通C</x:v>
      </x:c>
      <x:c r="C7" s="26" t="str">
        <x:v>准备学位证、毕业证、成绩单和学历验证</x:v>
      </x:c>
      <x:c r="D7" s="26" t="str">
        <x:v>2周内</x:v>
      </x:c>
      <x:c r="E7" s="27" t="str">
        <x:v>未开始</x:v>
      </x:c>
      <x:c r="F7" s="27" t="str"/>
      <x:c r="G7" s="26" t="str">
        <x:v>https://www.immd.gov.hk/eng/faq/TTPS.html</x:v>
      </x:c>
    </x:row>
    <x:row r="8" ht="44" customHeight="1">
      <x:c r="A8" s="26" t="str">
        <x:v>A1</x:v>
      </x:c>
      <x:c r="B8" s="26" t="str">
        <x:v>香港高才通C</x:v>
      </x:c>
      <x:c r="C8" s="26" t="str">
        <x:v>确认赴港工作同意书签发渠道</x:v>
      </x:c>
      <x:c r="D8" s="26" t="str">
        <x:v>2周内</x:v>
      </x:c>
      <x:c r="E8" s="27" t="str">
        <x:v>未开始</x:v>
      </x:c>
      <x:c r="F8" s="27" t="str"/>
      <x:c r="G8" s="26" t="str">
        <x:v>https://www.immd.gov.hk/pdforms/ID(C)1026.pdf</x:v>
      </x:c>
    </x:row>
    <x:row r="9" ht="44" customHeight="1">
      <x:c r="A9" s="26" t="str">
        <x:v>A2</x:v>
      </x:c>
      <x:c r="B9" s="26" t="str">
        <x:v>德国机会卡</x:v>
      </x:c>
      <x:c r="C9" s="26" t="str">
        <x:v>在anabin核查学校和具体学位</x:v>
      </x:c>
      <x:c r="D9" s="26" t="str">
        <x:v>本周</x:v>
      </x:c>
      <x:c r="E9" s="27" t="str">
        <x:v>未开始</x:v>
      </x:c>
      <x:c r="F9" s="27" t="str"/>
      <x:c r="G9" s="26" t="str">
        <x:v>https://anabin.kmk.org/</x:v>
      </x:c>
    </x:row>
    <x:row r="10" ht="44" customHeight="1">
      <x:c r="A10" s="26" t="str">
        <x:v>A2</x:v>
      </x:c>
      <x:c r="B10" s="26" t="str">
        <x:v>德国机会卡</x:v>
      </x:c>
      <x:c r="C10" s="26" t="str">
        <x:v>完成官方Self-Check并保存结果</x:v>
      </x:c>
      <x:c r="D10" s="26" t="str">
        <x:v>本周</x:v>
      </x:c>
      <x:c r="E10" s="27" t="str">
        <x:v>未开始</x:v>
      </x:c>
      <x:c r="F10" s="27" t="str"/>
      <x:c r="G10" s="26" t="str">
        <x:v>https://www.make-it-in-germany.com/en/visa-residence/opportunity-card/self-check</x:v>
      </x:c>
    </x:row>
    <x:row r="11" ht="44" customHeight="1">
      <x:c r="A11" s="26" t="str">
        <x:v>A2</x:v>
      </x:c>
      <x:c r="B11" s="26" t="str">
        <x:v>德国机会卡</x:v>
      </x:c>
      <x:c r="C11" s="26" t="str">
        <x:v>核算12个月冻结账户与落地预算</x:v>
      </x:c>
      <x:c r="D11" s="26" t="str">
        <x:v>2周内</x:v>
      </x:c>
      <x:c r="E11" s="27" t="str">
        <x:v>未开始</x:v>
      </x:c>
      <x:c r="F11" s="27" t="str"/>
      <x:c r="G11" s="26" t="str">
        <x:v>https://www.make-it-in-germany.com/en/visa-residence/opportunity-card/job-search</x:v>
      </x:c>
    </x:row>
    <x:row r="12" ht="44" customHeight="1">
      <x:c r="A12" s="26" t="str">
        <x:v>A3</x:v>
      </x:c>
      <x:c r="B12" s="26" t="str">
        <x:v>澳洲462</x:v>
      </x:c>
      <x:c r="C12" s="26" t="str">
        <x:v>确认是否已参加2026–27抽签登记</x:v>
      </x:c>
      <x:c r="D12" s="26" t="str">
        <x:v>立即</x:v>
      </x:c>
      <x:c r="E12" s="27" t="str">
        <x:v>未开始</x:v>
      </x:c>
      <x:c r="F12" s="27" t="str"/>
      <x:c r="G12" s="26" t="str">
        <x:v>https://immi.homeaffairs.gov.au/what-we-do/whm-program/latest-news/new-work-and-holiday-subclass-462-visa-pre-application-process</x:v>
      </x:c>
    </x:row>
    <x:row r="13" ht="44" customHeight="1">
      <x:c r="A13" s="26" t="str">
        <x:v>A3</x:v>
      </x:c>
      <x:c r="B13" s="26" t="str">
        <x:v>澳洲462</x:v>
      </x:c>
      <x:c r="C13" s="26" t="str">
        <x:v>取得/检查有效英语成绩</x:v>
      </x:c>
      <x:c r="D13" s="26" t="str">
        <x:v>下一开放季前</x:v>
      </x:c>
      <x:c r="E13" s="27" t="str">
        <x:v>未开始</x:v>
      </x:c>
      <x:c r="F13" s="27" t="str"/>
      <x:c r="G13" s="26" t="str">
        <x:v>https://immi.homeaffairs.gov.au/help-support/meeting-our-requirements/english-language/functional-english</x:v>
      </x:c>
    </x:row>
    <x:row r="14" ht="44" customHeight="1">
      <x:c r="A14" s="26" t="str">
        <x:v>A3</x:v>
      </x:c>
      <x:c r="B14" s="26" t="str">
        <x:v>澳洲462</x:v>
      </x:c>
      <x:c r="C14" s="26" t="str">
        <x:v>准备AUD5,000与返程资金证据</x:v>
      </x:c>
      <x:c r="D14" s="26" t="str">
        <x:v>下一开放季前</x:v>
      </x:c>
      <x:c r="E14" s="27" t="str">
        <x:v>未开始</x:v>
      </x:c>
      <x:c r="F14" s="27" t="str"/>
      <x:c r="G14" s="26" t="str">
        <x:v>https://immi.homeaffairs.gov.au/visas/getting-a-visa/visa-listing/work-holiday-462/first-work-holiday-462</x:v>
      </x:c>
    </x:row>
    <x:row r="15" ht="44" customHeight="1">
      <x:c r="A15" s="26" t="str">
        <x:v>A4</x:v>
      </x:c>
      <x:c r="B15" s="26" t="str">
        <x:v>新西兰WHV</x:v>
      </x:c>
      <x:c r="C15" s="26" t="str">
        <x:v>准备IELTS 5.5等有效成绩</x:v>
      </x:c>
      <x:c r="D15" s="26" t="str">
        <x:v>2027公告前</x:v>
      </x:c>
      <x:c r="E15" s="27" t="str">
        <x:v>未开始</x:v>
      </x:c>
      <x:c r="F15" s="27" t="str"/>
      <x:c r="G15" s="26" t="str">
        <x:v>https://www.immigration.govt.nz/process-to-apply/applying-for-a-visa/providing-evidence-and-documents-to-support-your-visa-application/english-language-requirements/english-language-requirements-for-some-working-holiday-visas/</x:v>
      </x:c>
    </x:row>
    <x:row r="16" ht="44" customHeight="1">
      <x:c r="A16" s="26" t="str">
        <x:v>A4</x:v>
      </x:c>
      <x:c r="B16" s="26" t="str">
        <x:v>新西兰WHV</x:v>
      </x:c>
      <x:c r="C16" s="26" t="str">
        <x:v>办理CSSD高中学历验证与英文翻译</x:v>
      </x:c>
      <x:c r="D16" s="26" t="str">
        <x:v>2027公告前</x:v>
      </x:c>
      <x:c r="E16" s="27" t="str">
        <x:v>未开始</x:v>
      </x:c>
      <x:c r="F16" s="27" t="str"/>
      <x:c r="G16" s="26" t="str">
        <x:v>https://www.immigration.govt.nz/visas/china-working-holiday-visa/</x:v>
      </x:c>
    </x:row>
    <x:row r="17" ht="44" customHeight="1">
      <x:c r="A17" s="26" t="str">
        <x:v>A4</x:v>
      </x:c>
      <x:c r="B17" s="26" t="str">
        <x:v>新西兰WHV</x:v>
      </x:c>
      <x:c r="C17" s="26" t="str">
        <x:v>创建并测试在线账户；整理抢名额资料</x:v>
      </x:c>
      <x:c r="D17" s="26" t="str">
        <x:v>2027公告前</x:v>
      </x:c>
      <x:c r="E17" s="27" t="str">
        <x:v>未开始</x:v>
      </x:c>
      <x:c r="F17" s="27" t="str"/>
      <x:c r="G17" s="26" t="str">
        <x:v>https://www.immigration.govt.nz/visas/china-working-holiday-visa/</x:v>
      </x:c>
    </x:row>
    <x:row r="18" ht="44" customHeight="1">
      <x:c r="A18" s="26" t="str">
        <x:v>B</x:v>
      </x:c>
      <x:c r="B18" s="26" t="str">
        <x:v>Au pair路线</x:v>
      </x:c>
      <x:c r="C18" s="26" t="str">
        <x:v>填写是否愿住家照护儿童及照护小时</x:v>
      </x:c>
      <x:c r="D18" s="26" t="str">
        <x:v>本周</x:v>
      </x:c>
      <x:c r="E18" s="27" t="str">
        <x:v>未开始</x:v>
      </x:c>
      <x:c r="F18" s="27" t="str"/>
      <x:c r="G18" s="26" t="str"/>
    </x:row>
    <x:row r="19" ht="44" customHeight="1">
      <x:c r="A19" s="26" t="str">
        <x:v>B</x:v>
      </x:c>
      <x:c r="B19" s="26" t="str">
        <x:v>年龄窗口</x:v>
      </x:c>
      <x:c r="C19" s="26" t="str">
        <x:v>按出生日期计算荷兰/瑞士/比利时/美德截止</x:v>
      </x:c>
      <x:c r="D19" s="26" t="str">
        <x:v>本周</x:v>
      </x:c>
      <x:c r="E19" s="27" t="str">
        <x:v>未开始</x:v>
      </x:c>
      <x:c r="F19" s="27" t="str"/>
      <x:c r="G19" s="26" t="str"/>
    </x:row>
    <x:row r="20" ht="44" customHeight="1">
      <x:c r="A20" s="26" t="str">
        <x:v>B</x:v>
      </x:c>
      <x:c r="B20" s="26" t="str">
        <x:v>英国季节工</x:v>
      </x:c>
      <x:c r="C20" s="26" t="str">
        <x:v>从担保登记册核实Seasonal Worker担保方</x:v>
      </x:c>
      <x:c r="D20" s="26" t="str">
        <x:v>持续</x:v>
      </x:c>
      <x:c r="E20" s="27" t="str">
        <x:v>未开始</x:v>
      </x:c>
      <x:c r="F20" s="27" t="str"/>
      <x:c r="G20" s="26" t="str">
        <x:v>https://www.gov.uk/government/publications/register-of-licensed-sponsors-workers</x:v>
      </x:c>
    </x:row>
    <x:row r="21" ht="44" customHeight="1">
      <x:c r="A21" s="26" t="str">
        <x:v>B</x:v>
      </x:c>
      <x:c r="B21" s="26" t="str">
        <x:v>北欧季节工</x:v>
      </x:c>
      <x:c r="C21" s="26" t="str">
        <x:v>准备英文简历并投递农业/旅游/滑雪/酒店岗位</x:v>
      </x:c>
      <x:c r="D21" s="26" t="str">
        <x:v>目标季节前6–9个月</x:v>
      </x:c>
      <x:c r="E21" s="27" t="str">
        <x:v>未开始</x:v>
      </x:c>
      <x:c r="F21" s="27" t="str"/>
      <x:c r="G21" s="26" t="str"/>
    </x:row>
    <x:row r="22" ht="44" customHeight="1">
      <x:c r="A22" s="26" t="str">
        <x:v>B</x:v>
      </x:c>
      <x:c r="B22" s="26" t="str">
        <x:v>美国J-1 Trainee</x:v>
      </x:c>
      <x:c r="C22" s="26" t="str">
        <x:v>确认是否已有12个月相关境外工作经验</x:v>
      </x:c>
      <x:c r="D22" s="26" t="str">
        <x:v>本周</x:v>
      </x:c>
      <x:c r="E22" s="27" t="str">
        <x:v>未开始</x:v>
      </x:c>
      <x:c r="F22" s="27" t="str"/>
      <x:c r="G22" s="26" t="str">
        <x:v>https://j1visa.state.gov/programs/trainee/</x:v>
      </x:c>
    </x:row>
    <x:row r="23" ht="44" customHeight="1">
      <x:c r="A23" s="26" t="str">
        <x:v>安全</x:v>
      </x:c>
      <x:c r="B23" s="26" t="str">
        <x:v>全部雇主路线</x:v>
      </x:c>
      <x:c r="C23" s="26" t="str">
        <x:v>使用雇主与中介核验清单逐项验证</x:v>
      </x:c>
      <x:c r="D23" s="26" t="str">
        <x:v>每个offer</x:v>
      </x:c>
      <x:c r="E23" s="27" t="str">
        <x:v>未开始</x:v>
      </x:c>
      <x:c r="F23" s="27" t="str"/>
      <x:c r="G23" s="26" t="str"/>
    </x:row>
  </x:sheetData>
  <x:mergeCells>
    <x:mergeCell ref="A1:G1"/>
    <x:mergeCell ref="A2:G2"/>
  </x:mergeCells>
  <x:dataValidations count="1">
    <x:dataValidation type="list" sqref="E5:E23">
      <x:formula1>"未开始,进行中,等待结果,已完成,放弃"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28" hidden="0" customWidth="1"/>
    <x:col min="5" max="5" width="14" hidden="0" customWidth="1"/>
    <x:col min="6" max="6" width="36" hidden="0" customWidth="1"/>
    <x:col min="7" max="7" width="38" hidden="0" customWidth="1"/>
  </x:cols>
  <x:sheetData>
    <x:row r="1" ht="34" customHeight="1">
      <x:c r="A1" s="3" t="str">
        <x:v>材料清单</x:v>
      </x:c>
      <x:c r="B1" s="3"/>
      <x:c r="C1" s="3"/>
      <x:c r="D1" s="3"/>
      <x:c r="E1" s="3"/>
      <x:c r="F1" s="3"/>
      <x:c r="G1" s="3"/>
    </x:row>
    <x:row r="2" ht="32" customHeight="1">
      <x:c r="A2" s="7" t="str">
        <x:v>黄色列可填写状态和文件位置；短有效期材料不要过早办理。</x:v>
      </x:c>
      <x:c r="B2" s="7"/>
      <x:c r="C2" s="7"/>
      <x:c r="D2" s="7"/>
      <x:c r="E2" s="7"/>
      <x:c r="F2" s="7"/>
      <x:c r="G2" s="7"/>
    </x:row>
    <x:row r="4" ht="34" customHeight="1">
      <x:c r="A4" s="22" t="str">
        <x:v>适用项目</x:v>
      </x:c>
      <x:c r="B4" s="22" t="str">
        <x:v>材料</x:v>
      </x:c>
      <x:c r="C4" s="22" t="str">
        <x:v>是否必需</x:v>
      </x:c>
      <x:c r="D4" s="22" t="str">
        <x:v>办理时机/有效期</x:v>
      </x:c>
      <x:c r="E4" s="22" t="str">
        <x:v>准备状态</x:v>
      </x:c>
      <x:c r="F4" s="22" t="str">
        <x:v>文件位置</x:v>
      </x:c>
      <x:c r="G4" s="22" t="str">
        <x:v>备注</x:v>
      </x:c>
    </x:row>
    <x:row r="5" ht="38" customHeight="1">
      <x:c r="A5" s="26" t="str">
        <x:v>通用</x:v>
      </x:c>
      <x:c r="B5" s="26" t="str">
        <x:v>护照个人信息页</x:v>
      </x:c>
      <x:c r="C5" s="26" t="str">
        <x:v>是</x:v>
      </x:c>
      <x:c r="D5" s="26" t="str">
        <x:v>现在；有效期覆盖行程</x:v>
      </x:c>
      <x:c r="E5" s="27" t="str">
        <x:v>未开始</x:v>
      </x:c>
      <x:c r="F5" s="27" t="str"/>
      <x:c r="G5" s="26" t="str">
        <x:v>彩色扫描</x:v>
      </x:c>
    </x:row>
    <x:row r="6" ht="38" customHeight="1">
      <x:c r="A6" s="26" t="str">
        <x:v>通用</x:v>
      </x:c>
      <x:c r="B6" s="26" t="str">
        <x:v>身份证/户口簿</x:v>
      </x:c>
      <x:c r="C6" s="26" t="str">
        <x:v>视项目</x:v>
      </x:c>
      <x:c r="D6" s="26" t="str">
        <x:v>现在</x:v>
      </x:c>
      <x:c r="E6" s="27" t="str">
        <x:v>未开始</x:v>
      </x:c>
      <x:c r="F6" s="27" t="str"/>
      <x:c r="G6" s="26" t="str">
        <x:v>保留原件与译件</x:v>
      </x:c>
    </x:row>
    <x:row r="7" ht="38" customHeight="1">
      <x:c r="A7" s="26" t="str">
        <x:v>通用</x:v>
      </x:c>
      <x:c r="B7" s="26" t="str">
        <x:v>学位证/毕业证</x:v>
      </x:c>
      <x:c r="C7" s="26" t="str">
        <x:v>是</x:v>
      </x:c>
      <x:c r="D7" s="26" t="str">
        <x:v>现在</x:v>
      </x:c>
      <x:c r="E7" s="27" t="str">
        <x:v>未开始</x:v>
      </x:c>
      <x:c r="F7" s="27" t="str"/>
      <x:c r="G7" s="26" t="str">
        <x:v>中英文/合规翻译</x:v>
      </x:c>
    </x:row>
    <x:row r="8" ht="38" customHeight="1">
      <x:c r="A8" s="26" t="str">
        <x:v>通用</x:v>
      </x:c>
      <x:c r="B8" s="26" t="str">
        <x:v>完整成绩单</x:v>
      </x:c>
      <x:c r="C8" s="26" t="str">
        <x:v>多项目</x:v>
      </x:c>
      <x:c r="D8" s="26" t="str">
        <x:v>现在</x:v>
      </x:c>
      <x:c r="E8" s="27" t="str">
        <x:v>未开始</x:v>
      </x:c>
      <x:c r="F8" s="27" t="str"/>
      <x:c r="G8" s="26" t="str">
        <x:v>学校盖章/电子验证</x:v>
      </x:c>
    </x:row>
    <x:row r="9" ht="38" customHeight="1">
      <x:c r="A9" s="26" t="str">
        <x:v>通用</x:v>
      </x:c>
      <x:c r="B9" s="26" t="str">
        <x:v>工作合同/在离职证明</x:v>
      </x:c>
      <x:c r="C9" s="26" t="str">
        <x:v>视项目</x:v>
      </x:c>
      <x:c r="D9" s="26" t="str">
        <x:v>现在</x:v>
      </x:c>
      <x:c r="E9" s="27" t="str">
        <x:v>未开始</x:v>
      </x:c>
      <x:c r="F9" s="27" t="str"/>
      <x:c r="G9" s="26" t="str">
        <x:v>证明毕业后全职/自雇</x:v>
      </x:c>
    </x:row>
    <x:row r="10" ht="38" customHeight="1">
      <x:c r="A10" s="26" t="str">
        <x:v>通用</x:v>
      </x:c>
      <x:c r="B10" s="26" t="str">
        <x:v>工资流水/社保/个税</x:v>
      </x:c>
      <x:c r="C10" s="26" t="str">
        <x:v>视项目</x:v>
      </x:c>
      <x:c r="D10" s="26" t="str">
        <x:v>现在</x:v>
      </x:c>
      <x:c r="E10" s="27" t="str">
        <x:v>未开始</x:v>
      </x:c>
      <x:c r="F10" s="27" t="str"/>
      <x:c r="G10" s="26" t="str">
        <x:v>与工作证明互证</x:v>
      </x:c>
    </x:row>
    <x:row r="11" ht="38" customHeight="1">
      <x:c r="A11" s="26" t="str">
        <x:v>通用</x:v>
      </x:c>
      <x:c r="B11" s="26" t="str">
        <x:v>无犯罪记录</x:v>
      </x:c>
      <x:c r="C11" s="26" t="str">
        <x:v>视项目</x:v>
      </x:c>
      <x:c r="D11" s="26" t="str">
        <x:v>收到明确要求后</x:v>
      </x:c>
      <x:c r="E11" s="27" t="str">
        <x:v>未开始</x:v>
      </x:c>
      <x:c r="F11" s="27" t="str"/>
      <x:c r="G11" s="26" t="str">
        <x:v>通常有3–6个月有效期</x:v>
      </x:c>
    </x:row>
    <x:row r="12" ht="38" customHeight="1">
      <x:c r="A12" s="26" t="str">
        <x:v>通用</x:v>
      </x:c>
      <x:c r="B12" s="26" t="str">
        <x:v>体检/胸片</x:v>
      </x:c>
      <x:c r="C12" s="26" t="str">
        <x:v>视项目</x:v>
      </x:c>
      <x:c r="D12" s="26" t="str">
        <x:v>按官方通知办理</x:v>
      </x:c>
      <x:c r="E12" s="27" t="str">
        <x:v>未开始</x:v>
      </x:c>
      <x:c r="F12" s="27" t="str"/>
      <x:c r="G12" s="26" t="str">
        <x:v>不要过早</x:v>
      </x:c>
    </x:row>
    <x:row r="13" ht="38" customHeight="1">
      <x:c r="A13" s="26" t="str">
        <x:v>通用</x:v>
      </x:c>
      <x:c r="B13" s="26" t="str">
        <x:v>银行流水/存款证明</x:v>
      </x:c>
      <x:c r="C13" s="26" t="str">
        <x:v>是</x:v>
      </x:c>
      <x:c r="D13" s="26" t="str">
        <x:v>持续养流水</x:v>
      </x:c>
      <x:c r="E13" s="27" t="str">
        <x:v>未开始</x:v>
      </x:c>
      <x:c r="F13" s="27" t="str"/>
      <x:c r="G13" s="26" t="str">
        <x:v>说明大额资金来源</x:v>
      </x:c>
    </x:row>
    <x:row r="14" ht="38" customHeight="1">
      <x:c r="A14" s="26" t="str">
        <x:v>通用</x:v>
      </x:c>
      <x:c r="B14" s="26" t="str">
        <x:v>保险</x:v>
      </x:c>
      <x:c r="C14" s="26" t="str">
        <x:v>是/视项目</x:v>
      </x:c>
      <x:c r="D14" s="26" t="str">
        <x:v>获签或申请阶段按要求</x:v>
      </x:c>
      <x:c r="E14" s="27" t="str">
        <x:v>未开始</x:v>
      </x:c>
      <x:c r="F14" s="27" t="str"/>
      <x:c r="G14" s="26" t="str">
        <x:v>覆盖住院/遣返等</x:v>
      </x:c>
    </x:row>
    <x:row r="15" ht="38" customHeight="1">
      <x:c r="A15" s="26" t="str">
        <x:v>香港高才通</x:v>
      </x:c>
      <x:c r="B15" s="26" t="str">
        <x:v>当前合资格大学名单PDF</x:v>
      </x:c>
      <x:c r="C15" s="26" t="str">
        <x:v>是</x:v>
      </x:c>
      <x:c r="D15" s="26" t="str">
        <x:v>申请前重新下载</x:v>
      </x:c>
      <x:c r="E15" s="27" t="str">
        <x:v>未开始</x:v>
      </x:c>
      <x:c r="F15" s="27" t="str"/>
      <x:c r="G15" s="26" t="str">
        <x:v>保存中南大学所在页</x:v>
      </x:c>
    </x:row>
    <x:row r="16" ht="38" customHeight="1">
      <x:c r="A16" s="26" t="str">
        <x:v>香港高才通</x:v>
      </x:c>
      <x:c r="B16" s="26" t="str">
        <x:v>学士学位认证文件</x:v>
      </x:c>
      <x:c r="C16" s="26" t="str">
        <x:v>是</x:v>
      </x:c>
      <x:c r="D16" s="26" t="str">
        <x:v>尽早</x:v>
      </x:c>
      <x:c r="E16" s="27" t="str">
        <x:v>未开始</x:v>
      </x:c>
      <x:c r="F16" s="27" t="str"/>
      <x:c r="G16" s="26" t="str">
        <x:v>第三方或颁授院校验证</x:v>
      </x:c>
    </x:row>
    <x:row r="17" ht="38" customHeight="1">
      <x:c r="A17" s="26" t="str">
        <x:v>香港高才通</x:v>
      </x:c>
      <x:c r="B17" s="26" t="str">
        <x:v>赴港工作同意书</x:v>
      </x:c>
      <x:c r="C17" s="26" t="str">
        <x:v>内地居民是</x:v>
      </x:c>
      <x:c r="D17" s="26" t="str">
        <x:v>申请前</x:v>
      </x:c>
      <x:c r="E17" s="27" t="str">
        <x:v>未开始</x:v>
      </x:c>
      <x:c r="F17" s="27" t="str"/>
      <x:c r="G17" s="26" t="str">
        <x:v>使用指南附件</x:v>
      </x:c>
    </x:row>
    <x:row r="18" ht="38" customHeight="1">
      <x:c r="A18" s="26" t="str">
        <x:v>澳洲462</x:v>
      </x:c>
      <x:c r="B18" s="26" t="str">
        <x:v>有效功能英语证明</x:v>
      </x:c>
      <x:c r="C18" s="26" t="str">
        <x:v>是</x:v>
      </x:c>
      <x:c r="D18" s="26" t="str">
        <x:v>按签证页有效期</x:v>
      </x:c>
      <x:c r="E18" s="27" t="str">
        <x:v>未开始</x:v>
      </x:c>
      <x:c r="F18" s="27" t="str"/>
      <x:c r="G18" s="26" t="str">
        <x:v>IELTS 4.5等</x:v>
      </x:c>
    </x:row>
    <x:row r="19" ht="38" customHeight="1">
      <x:c r="A19" s="26" t="str">
        <x:v>澳洲462</x:v>
      </x:c>
      <x:c r="B19" s="26" t="str">
        <x:v>抽签登记/入选信</x:v>
      </x:c>
      <x:c r="C19" s="26" t="str">
        <x:v>是</x:v>
      </x:c>
      <x:c r="D19" s="26" t="str">
        <x:v>开放期/入选后</x:v>
      </x:c>
      <x:c r="E19" s="27" t="str">
        <x:v>未开始</x:v>
      </x:c>
      <x:c r="F19" s="27" t="str"/>
      <x:c r="G19" s="26" t="str">
        <x:v>未登记不能补</x:v>
      </x:c>
    </x:row>
    <x:row r="20" ht="38" customHeight="1">
      <x:c r="A20" s="26" t="str">
        <x:v>澳洲462</x:v>
      </x:c>
      <x:c r="B20" s="26" t="str">
        <x:v>AUD5,000+返程资金</x:v>
      </x:c>
      <x:c r="C20" s="26" t="str">
        <x:v>是</x:v>
      </x:c>
      <x:c r="D20" s="26" t="str">
        <x:v>申请时</x:v>
      </x:c>
      <x:c r="E20" s="27" t="str">
        <x:v>未开始</x:v>
      </x:c>
      <x:c r="F20" s="27" t="str"/>
      <x:c r="G20" s="26" t="str">
        <x:v>金额以递交页为准</x:v>
      </x:c>
    </x:row>
    <x:row r="21" ht="38" customHeight="1">
      <x:c r="A21" s="26" t="str">
        <x:v>新西兰WHV</x:v>
      </x:c>
      <x:c r="B21" s="26" t="str">
        <x:v>CSSD高中学历验证</x:v>
      </x:c>
      <x:c r="C21" s="26" t="str">
        <x:v>是</x:v>
      </x:c>
      <x:c r="D21" s="26" t="str">
        <x:v>开放前</x:v>
      </x:c>
      <x:c r="E21" s="27" t="str">
        <x:v>未开始</x:v>
      </x:c>
      <x:c r="F21" s="27" t="str"/>
      <x:c r="G21" s="26" t="str">
        <x:v>高中至少3年全日制</x:v>
      </x:c>
    </x:row>
    <x:row r="22" ht="38" customHeight="1">
      <x:c r="A22" s="26" t="str">
        <x:v>新西兰WHV</x:v>
      </x:c>
      <x:c r="B22" s="26" t="str">
        <x:v>高中学历和验证英文译件</x:v>
      </x:c>
      <x:c r="C22" s="26" t="str">
        <x:v>是</x:v>
      </x:c>
      <x:c r="D22" s="26" t="str">
        <x:v>开放前</x:v>
      </x:c>
      <x:c r="E22" s="27" t="str">
        <x:v>未开始</x:v>
      </x:c>
      <x:c r="F22" s="27" t="str"/>
      <x:c r="G22" s="26" t="str">
        <x:v>按INZ翻译标准</x:v>
      </x:c>
    </x:row>
    <x:row r="23" ht="38" customHeight="1">
      <x:c r="A23" s="26" t="str">
        <x:v>新西兰WHV</x:v>
      </x:c>
      <x:c r="B23" s="26" t="str">
        <x:v>2年内英语成绩</x:v>
      </x:c>
      <x:c r="C23" s="26" t="str">
        <x:v>是</x:v>
      </x:c>
      <x:c r="D23" s="26" t="str">
        <x:v>开放前</x:v>
      </x:c>
      <x:c r="E23" s="27" t="str">
        <x:v>未开始</x:v>
      </x:c>
      <x:c r="F23" s="27" t="str"/>
      <x:c r="G23" s="26" t="str">
        <x:v>IELTS 5.5等</x:v>
      </x:c>
    </x:row>
    <x:row r="24" ht="38" customHeight="1">
      <x:c r="A24" s="26" t="str">
        <x:v>新西兰WHV</x:v>
      </x:c>
      <x:c r="B24" s="26" t="str">
        <x:v>NZD4,200+返程资金</x:v>
      </x:c>
      <x:c r="C24" s="26" t="str">
        <x:v>是</x:v>
      </x:c>
      <x:c r="D24" s="26" t="str">
        <x:v>申请时</x:v>
      </x:c>
      <x:c r="E24" s="27" t="str">
        <x:v>未开始</x:v>
      </x:c>
      <x:c r="F24" s="27" t="str"/>
      <x:c r="G24" s="26" t="str">
        <x:v>资金之外另备返程票</x:v>
      </x:c>
    </x:row>
    <x:row r="25" ht="38" customHeight="1">
      <x:c r="A25" s="26" t="str">
        <x:v>德国机会卡</x:v>
      </x:c>
      <x:c r="B25" s="26" t="str">
        <x:v>anabin正面结果/ZAB可比性</x:v>
      </x:c>
      <x:c r="C25" s="26" t="str">
        <x:v>是</x:v>
      </x:c>
      <x:c r="D25" s="26" t="str">
        <x:v>申请前</x:v>
      </x:c>
      <x:c r="E25" s="27" t="str">
        <x:v>未开始</x:v>
      </x:c>
      <x:c r="F25" s="27" t="str"/>
      <x:c r="G25" s="26" t="str">
        <x:v>学校+具体学位</x:v>
      </x:c>
    </x:row>
    <x:row r="26" ht="38" customHeight="1">
      <x:c r="A26" s="26" t="str">
        <x:v>德国机会卡</x:v>
      </x:c>
      <x:c r="B26" s="26" t="str">
        <x:v>语言证明</x:v>
      </x:c>
      <x:c r="C26" s="26" t="str">
        <x:v>积分路径是</x:v>
      </x:c>
      <x:c r="D26" s="26" t="str">
        <x:v>申请前</x:v>
      </x:c>
      <x:c r="E26" s="27" t="str">
        <x:v>未开始</x:v>
      </x:c>
      <x:c r="F26" s="27" t="str"/>
      <x:c r="G26" s="26" t="str">
        <x:v>德A1或英B2</x:v>
      </x:c>
    </x:row>
    <x:row r="27" ht="38" customHeight="1">
      <x:c r="A27" s="26" t="str">
        <x:v>德国机会卡</x:v>
      </x:c>
      <x:c r="B27" s="26" t="str">
        <x:v>冻结账户/担保声明</x:v>
      </x:c>
      <x:c r="C27" s="26" t="str">
        <x:v>是</x:v>
      </x:c>
      <x:c r="D27" s="26" t="str">
        <x:v>申请前</x:v>
      </x:c>
      <x:c r="E27" s="27" t="str">
        <x:v>未开始</x:v>
      </x:c>
      <x:c r="F27" s="27" t="str"/>
      <x:c r="G27" s="26" t="str">
        <x:v>2026每月€1,091</x:v>
      </x:c>
    </x:row>
    <x:row r="28" ht="38" customHeight="1">
      <x:c r="A28" s="26" t="str">
        <x:v>Au pair</x:v>
      </x:c>
      <x:c r="B28" s="26" t="str">
        <x:v>儿童照护推荐信</x:v>
      </x:c>
      <x:c r="C28" s="26" t="str">
        <x:v>强烈建议</x:v>
      </x:c>
      <x:c r="D28" s="26" t="str">
        <x:v>匹配前</x:v>
      </x:c>
      <x:c r="E28" s="27" t="str">
        <x:v>未开始</x:v>
      </x:c>
      <x:c r="F28" s="27" t="str"/>
      <x:c r="G28" s="26" t="str">
        <x:v>写明日期、儿童年龄、小时</x:v>
      </x:c>
    </x:row>
    <x:row r="29" ht="38" customHeight="1">
      <x:c r="A29" s="26" t="str">
        <x:v>Au pair</x:v>
      </x:c>
      <x:c r="B29" s="26" t="str">
        <x:v>驾照/无事故/急救证</x:v>
      </x:c>
      <x:c r="C29" s="26" t="str">
        <x:v>视家庭</x:v>
      </x:c>
      <x:c r="D29" s="26" t="str">
        <x:v>匹配前</x:v>
      </x:c>
      <x:c r="E29" s="27" t="str">
        <x:v>未开始</x:v>
      </x:c>
      <x:c r="F29" s="27" t="str"/>
      <x:c r="G29" s="26" t="str">
        <x:v>翻译</x:v>
      </x:c>
    </x:row>
    <x:row r="30" ht="38" customHeight="1">
      <x:c r="A30" s="26" t="str">
        <x:v>Au pair</x:v>
      </x:c>
      <x:c r="B30" s="26" t="str">
        <x:v>寄宿家庭协议</x:v>
      </x:c>
      <x:c r="C30" s="26" t="str">
        <x:v>是</x:v>
      </x:c>
      <x:c r="D30" s="26" t="str">
        <x:v>申请前</x:v>
      </x:c>
      <x:c r="E30" s="27" t="str">
        <x:v>未开始</x:v>
      </x:c>
      <x:c r="F30" s="27" t="str"/>
      <x:c r="G30" s="26" t="str">
        <x:v>必须用官方/认可格式</x:v>
      </x:c>
    </x:row>
    <x:row r="31" ht="38" customHeight="1">
      <x:c r="A31" s="26" t="str">
        <x:v>Au pair</x:v>
      </x:c>
      <x:c r="B31" s="26" t="str">
        <x:v>语言课程计划</x:v>
      </x:c>
      <x:c r="C31" s="26" t="str">
        <x:v>多国是</x:v>
      </x:c>
      <x:c r="D31" s="26" t="str">
        <x:v>申请前</x:v>
      </x:c>
      <x:c r="E31" s="27" t="str">
        <x:v>未开始</x:v>
      </x:c>
      <x:c r="F31" s="27" t="str"/>
      <x:c r="G31" s="26" t="str">
        <x:v>德/法/北欧语言</x:v>
      </x:c>
    </x:row>
    <x:row r="32" ht="38" customHeight="1">
      <x:c r="A32" s="26" t="str">
        <x:v>季节工</x:v>
      </x:c>
      <x:c r="B32" s="26" t="str">
        <x:v>真实雇佣合同</x:v>
      </x:c>
      <x:c r="C32" s="26" t="str">
        <x:v>是</x:v>
      </x:c>
      <x:c r="D32" s="26" t="str">
        <x:v>签证前</x:v>
      </x:c>
      <x:c r="E32" s="27" t="str">
        <x:v>未开始</x:v>
      </x:c>
      <x:c r="F32" s="27" t="str"/>
      <x:c r="G32" s="26" t="str">
        <x:v>岗位、工时、工资、地点</x:v>
      </x:c>
    </x:row>
    <x:row r="33" ht="38" customHeight="1">
      <x:c r="A33" s="26" t="str">
        <x:v>季节工</x:v>
      </x:c>
      <x:c r="B33" s="26" t="str">
        <x:v>雇主担保/工作许可/CoS</x:v>
      </x:c>
      <x:c r="C33" s="26" t="str">
        <x:v>是</x:v>
      </x:c>
      <x:c r="D33" s="26" t="str">
        <x:v>签证前</x:v>
      </x:c>
      <x:c r="E33" s="27" t="str">
        <x:v>未开始</x:v>
      </x:c>
      <x:c r="F33" s="27" t="str"/>
      <x:c r="G33" s="26" t="str">
        <x:v>从官方渠道核验</x:v>
      </x:c>
    </x:row>
    <x:row r="34" ht="38" customHeight="1">
      <x:c r="A34" s="26" t="str">
        <x:v>季节工</x:v>
      </x:c>
      <x:c r="B34" s="26" t="str">
        <x:v>住房与扣费说明</x:v>
      </x:c>
      <x:c r="C34" s="26" t="str">
        <x:v>强烈建议</x:v>
      </x:c>
      <x:c r="D34" s="26" t="str">
        <x:v>签约前</x:v>
      </x:c>
      <x:c r="E34" s="27" t="str">
        <x:v>未开始</x:v>
      </x:c>
      <x:c r="F34" s="27" t="str"/>
      <x:c r="G34" s="26" t="str">
        <x:v>写入合同</x:v>
      </x:c>
    </x:row>
    <x:row r="35" ht="38" customHeight="1">
      <x:c r="A35" s="26" t="str">
        <x:v>美国J-1</x:v>
      </x:c>
      <x:c r="B35" s="26" t="str">
        <x:v>指定担保人和DS-2019</x:v>
      </x:c>
      <x:c r="C35" s="26" t="str">
        <x:v>是</x:v>
      </x:c>
      <x:c r="D35" s="26" t="str">
        <x:v>签证前</x:v>
      </x:c>
      <x:c r="E35" s="27" t="str">
        <x:v>未开始</x:v>
      </x:c>
      <x:c r="F35" s="27" t="str"/>
      <x:c r="G35" s="26" t="str">
        <x:v>只用国务院名单</x:v>
      </x:c>
    </x:row>
    <x:row r="36" ht="38" customHeight="1">
      <x:c r="A36" s="26" t="str">
        <x:v>美国Trainee</x:v>
      </x:c>
      <x:c r="B36" s="26" t="str">
        <x:v>DS-7002培训计划</x:v>
      </x:c>
      <x:c r="C36" s="26" t="str">
        <x:v>是</x:v>
      </x:c>
      <x:c r="D36" s="26" t="str">
        <x:v>签证前</x:v>
      </x:c>
      <x:c r="E36" s="27" t="str">
        <x:v>未开始</x:v>
      </x:c>
      <x:c r="F36" s="27" t="str"/>
      <x:c r="G36" s="26" t="str">
        <x:v>不能替代普通岗位</x:v>
      </x:c>
    </x:row>
  </x:sheetData>
  <x:mergeCells>
    <x:mergeCell ref="A1:G1"/>
    <x:mergeCell ref="A2:G2"/>
  </x:mergeCells>
  <x:dataValidations count="1">
    <x:dataValidation type="list" sqref="E5:E36">
      <x:formula1>"未开始,办理中,已有,需更新,不适用"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16" hidden="0" customWidth="1"/>
    <x:col min="4" max="4" width="18" hidden="0" customWidth="1"/>
    <x:col min="5" max="5" width="22" hidden="0" customWidth="1"/>
    <x:col min="6" max="6" width="42" hidden="0" customWidth="1"/>
    <x:col min="7" max="7" width="48" hidden="0" customWidth="1"/>
  </x:cols>
  <x:sheetData>
    <x:row r="1" ht="34" customHeight="1">
      <x:c r="A1" s="3" t="str">
        <x:v>时间窗口</x:v>
      </x:c>
      <x:c r="B1" s="3"/>
      <x:c r="C1" s="3"/>
      <x:c r="D1" s="3"/>
      <x:c r="E1" s="3"/>
      <x:c r="F1" s="3"/>
      <x:c r="G1" s="3"/>
    </x:row>
    <x:row r="2" ht="32" customHeight="1">
      <x:c r="A2" s="7" t="str">
        <x:v>所有日期均以申请当日官方页面为准；‘按出生日期’项目请在个人画像填写精确生日。</x:v>
      </x:c>
      <x:c r="B2" s="7"/>
      <x:c r="C2" s="7"/>
      <x:c r="D2" s="7"/>
      <x:c r="E2" s="7"/>
      <x:c r="F2" s="7"/>
      <x:c r="G2" s="7"/>
    </x:row>
    <x:row r="4" ht="34" customHeight="1">
      <x:c r="A4" s="22" t="str">
        <x:v>国家/项目</x:v>
      </x:c>
      <x:c r="B4" s="22" t="str">
        <x:v>事件</x:v>
      </x:c>
      <x:c r="C4" s="22" t="str">
        <x:v>开始</x:v>
      </x:c>
      <x:c r="D4" s="22" t="str">
        <x:v>结束/截止</x:v>
      </x:c>
      <x:c r="E4" s="22" t="str">
        <x:v>当前状态</x:v>
      </x:c>
      <x:c r="F4" s="22" t="str">
        <x:v>你要做什么</x:v>
      </x:c>
      <x:c r="G4" s="22" t="str">
        <x:v>官方来源</x:v>
      </x:c>
    </x:row>
    <x:row r="5" ht="46" customHeight="1">
      <x:c r="A5" s="26" t="str">
        <x:v>香港高才通C</x:v>
      </x:c>
      <x:c r="B5" s="26" t="str">
        <x:v>2024毕业五年窗口</x:v>
      </x:c>
      <x:c r="C5" s="37" t="n">
        <x:v>45292</x:v>
      </x:c>
      <x:c r="D5" s="37" t="n">
        <x:v>47483</x:v>
      </x:c>
      <x:c r="E5" s="26" t="str">
        <x:v>可申请；规则/名单可变</x:v>
      </x:c>
      <x:c r="F5" s="26" t="str">
        <x:v>尽快申请或至少在2029年底前；先核工作经验类别</x:v>
      </x:c>
      <x:c r="G5" s="26" t="str">
        <x:v>https://www.immd.gov.hk/eng/faq/TTPS.html</x:v>
      </x:c>
    </x:row>
    <x:row r="6" ht="46" customHeight="1">
      <x:c r="A6" s="26" t="str">
        <x:v>香港高才通C</x:v>
      </x:c>
      <x:c r="B6" s="26" t="str">
        <x:v>年度配额</x:v>
      </x:c>
      <x:c r="C6" s="37" t="n">
        <x:v>46023</x:v>
      </x:c>
      <x:c r="D6" s="37" t="n">
        <x:v>46387</x:v>
      </x:c>
      <x:c r="E6" s="26" t="str">
        <x:v>10,000；先到先得</x:v>
      </x:c>
      <x:c r="F6" s="26" t="str">
        <x:v>递交前查看配额状态</x:v>
      </x:c>
      <x:c r="G6" s="26" t="str">
        <x:v>https://www.immd.gov.hk/eng/faq/TTPS.html</x:v>
      </x:c>
    </x:row>
    <x:row r="7" ht="46" customHeight="1">
      <x:c r="A7" s="26" t="str">
        <x:v>澳洲462</x:v>
      </x:c>
      <x:c r="B7" s="26" t="str">
        <x:v>2026–27抽签登记</x:v>
      </x:c>
      <x:c r="C7" s="37" t="n">
        <x:v>46177</x:v>
      </x:c>
      <x:c r="D7" s="37" t="n">
        <x:v>46198</x:v>
      </x:c>
      <x:c r="E7" s="26" t="str">
        <x:v>已关闭</x:v>
      </x:c>
      <x:c r="F7" s="26" t="str">
        <x:v>已登记者等抽选；未登记者等下一季</x:v>
      </x:c>
      <x:c r="G7" s="26" t="str">
        <x:v>https://immi.homeaffairs.gov.au/what-we-do/whm-program/latest-news/new-work-and-holiday-subclass-462-visa-pre-application-process</x:v>
      </x:c>
    </x:row>
    <x:row r="8" ht="46" customHeight="1">
      <x:c r="A8" s="26" t="str">
        <x:v>澳洲462</x:v>
      </x:c>
      <x:c r="B8" s="26" t="str">
        <x:v>2026–27随机选择</x:v>
      </x:c>
      <x:c r="C8" s="37" t="n">
        <x:v>46205</x:v>
      </x:c>
      <x:c r="D8" s="37" t="n">
        <x:v>46507</x:v>
      </x:c>
      <x:c r="E8" s="26" t="str">
        <x:v>进行中（仅已登记者）</x:v>
      </x:c>
      <x:c r="F8" s="26" t="str">
        <x:v>检查ImmiAccount和邮箱</x:v>
      </x:c>
      <x:c r="G8" s="26" t="str">
        <x:v>https://immi.homeaffairs.gov.au/what-we-do/whm-program/latest-news/new-work-and-holiday-subclass-462-visa-pre-application-process</x:v>
      </x:c>
    </x:row>
    <x:row r="9" ht="46" customHeight="1">
      <x:c r="A9" s="26" t="str">
        <x:v>新西兰WHV</x:v>
      </x:c>
      <x:c r="B9" s="26" t="str">
        <x:v>2026开放</x:v>
      </x:c>
      <x:c r="C9" s="37" t="n">
        <x:v>46205</x:v>
      </x:c>
      <x:c r="D9" s="37" t="n">
        <x:v>46205</x:v>
      </x:c>
      <x:c r="E9" s="26" t="str">
        <x:v>名额已满/关闭</x:v>
      </x:c>
      <x:c r="F9" s="26" t="str">
        <x:v>准备2027；等官方新开放日</x:v>
      </x:c>
      <x:c r="G9" s="26" t="str">
        <x:v>https://www.immigration.govt.nz/about-us/news-centre/2026-opening-dates-for-capped-working-holiday-schemes-confirmed/</x:v>
      </x:c>
    </x:row>
    <x:row r="10" ht="46" customHeight="1">
      <x:c r="A10" s="26" t="str">
        <x:v>荷兰Au pair</x:v>
      </x:c>
      <x:c r="B10" s="26" t="str">
        <x:v>年龄上限</x:v>
      </x:c>
      <x:c r="C10" s="37" t="str">
        <x:v>按出生日期</x:v>
      </x:c>
      <x:c r="D10" s="37" t="str">
        <x:v>申请时最大25岁</x:v>
      </x:c>
      <x:c r="E10" s="26" t="str">
        <x:v>紧迫</x:v>
      </x:c>
      <x:c r="F10" s="26" t="str">
        <x:v>立即查生日和认可机构处理时间</x:v>
      </x:c>
      <x:c r="G10" s="26" t="str">
        <x:v>https://ind.nl/en/residence-permits/au-pair-and-exchange/residence-permit-au-pair</x:v>
      </x:c>
    </x:row>
    <x:row r="11" ht="46" customHeight="1">
      <x:c r="A11" s="26" t="str">
        <x:v>瑞士Au pair</x:v>
      </x:c>
      <x:c r="B11" s="26" t="str">
        <x:v>年龄上限</x:v>
      </x:c>
      <x:c r="C11" s="37" t="str">
        <x:v>按出生日期</x:v>
      </x:c>
      <x:c r="D11" s="37" t="str">
        <x:v>18–25岁</x:v>
      </x:c>
      <x:c r="E11" s="26" t="str">
        <x:v>紧迫</x:v>
      </x:c>
      <x:c r="F11" s="26" t="str">
        <x:v>立即联系认可安置机构</x:v>
      </x:c>
      <x:c r="G11" s="26" t="str">
        <x:v>https://www.sem.admin.ch/sem/en/home/themen/arbeit/faq.0006.html</x:v>
      </x:c>
    </x:row>
    <x:row r="12" ht="46" customHeight="1">
      <x:c r="A12" s="26" t="str">
        <x:v>美国/德国Au pair</x:v>
      </x:c>
      <x:c r="B12" s="26" t="str">
        <x:v>年龄上限</x:v>
      </x:c>
      <x:c r="C12" s="37" t="str">
        <x:v>按出生日期</x:v>
      </x:c>
      <x:c r="D12" s="37" t="str">
        <x:v>美国/德国通常至26岁</x:v>
      </x:c>
      <x:c r="E12" s="26" t="str">
        <x:v>较紧</x:v>
      </x:c>
      <x:c r="F12" s="26" t="str">
        <x:v>至少提前3–6个月匹配</x:v>
      </x:c>
      <x:c r="G12" s="26" t="str">
        <x:v>https://j1visa.state.gov/programs/au-pair/</x:v>
      </x:c>
    </x:row>
    <x:row r="13" ht="46" customHeight="1">
      <x:c r="A13" s="26" t="str">
        <x:v>奥地利Au pair</x:v>
      </x:c>
      <x:c r="B13" s="26" t="str">
        <x:v>年龄上限</x:v>
      </x:c>
      <x:c r="C13" s="37" t="str">
        <x:v>按出生日期</x:v>
      </x:c>
      <x:c r="D13" s="37" t="str">
        <x:v>未满28岁</x:v>
      </x:c>
      <x:c r="E13" s="26" t="str">
        <x:v>需规划</x:v>
      </x:c>
      <x:c r="F13" s="26" t="str">
        <x:v>准备德语和AMS流程</x:v>
      </x:c>
      <x:c r="G13" s="26" t="str">
        <x:v>https://www.ams.at/unternehmen/service-zur-personalsuche/beschaeftigung-auslaendischer-arbeitskraefte/volontariat--ferial--oder-berufspraktikum-und-au-pair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2" hidden="0" customWidth="1"/>
    <x:col min="4" max="4" width="58" hidden="0" customWidth="1"/>
    <x:col min="5" max="5" width="58" hidden="0" customWidth="1"/>
    <x:col min="6" max="6" width="14" hidden="0" customWidth="1"/>
  </x:cols>
  <x:sheetData>
    <x:row r="1" ht="34" customHeight="1">
      <x:c r="A1" s="3" t="str">
        <x:v>官方来源索引</x:v>
      </x:c>
      <x:c r="B1" s="3"/>
      <x:c r="C1" s="3"/>
      <x:c r="D1" s="3"/>
      <x:c r="E1" s="3"/>
      <x:c r="F1" s="3"/>
    </x:row>
    <x:row r="2" ht="32" customHeight="1">
      <x:c r="A2" s="7" t="str">
        <x:v>只列政府、移民局、外交部门或政府授权项目页面；申请前重新核对页面更新时间。</x:v>
      </x:c>
      <x:c r="B2" s="7"/>
      <x:c r="C2" s="7"/>
      <x:c r="D2" s="7"/>
      <x:c r="E2" s="7"/>
      <x:c r="F2" s="7"/>
    </x:row>
    <x:row r="4" ht="34" customHeight="1">
      <x:c r="A4" s="22" t="str">
        <x:v>国家/地区</x:v>
      </x:c>
      <x:c r="B4" s="22" t="str">
        <x:v>项目/主题</x:v>
      </x:c>
      <x:c r="C4" s="22" t="str">
        <x:v>官方机构</x:v>
      </x:c>
      <x:c r="D4" s="22" t="str">
        <x:v>官方网址</x:v>
      </x:c>
      <x:c r="E4" s="22" t="str">
        <x:v>本表采用的信息</x:v>
      </x:c>
      <x:c r="F4" s="22" t="str">
        <x:v>核对日期</x:v>
      </x:c>
    </x:row>
    <x:row r="5" ht="44" customHeight="1">
      <x:c r="A5" s="26" t="str">
        <x:v>中国香港</x:v>
      </x:c>
      <x:c r="B5" s="26" t="str">
        <x:v>高才通C类</x:v>
      </x:c>
      <x:c r="C5" s="26" t="str">
        <x:v>政府/移民/外交官方</x:v>
      </x:c>
      <x:c r="D5" s="38" t="str">
        <x:v>https://www.immd.gov.hk/hks/services/visas/TTPS.html</x:v>
      </x:c>
      <x:c r="E5" s="26" t="str">
        <x:v>无青年年龄上限；初次24个月；年度10,000；先到先得；2024毕业；毕业后全职/自雇少于3年</x:v>
      </x:c>
      <x:c r="F5" s="37" t="n">
        <x:v>46248</x:v>
      </x:c>
    </x:row>
    <x:row r="6" ht="44" customHeight="1">
      <x:c r="A6" s="26" t="str">
        <x:v>中国香港</x:v>
      </x:c>
      <x:c r="B6" s="26" t="str">
        <x:v>高才通B类</x:v>
      </x:c>
      <x:c r="C6" s="26" t="str">
        <x:v>政府/移民/外交官方</x:v>
      </x:c>
      <x:c r="D6" s="38" t="str">
        <x:v>https://www.immd.gov.hk/eng/faq/TTPS.html</x:v>
      </x:c>
      <x:c r="E6" s="26" t="str">
        <x:v>无青年年龄上限；初次24个月；全年可申请；过去5年毕业后全职/自雇至少3年</x:v>
      </x:c>
      <x:c r="F6" s="37" t="n">
        <x:v>46248</x:v>
      </x:c>
    </x:row>
    <x:row r="7" ht="44" customHeight="1">
      <x:c r="A7" s="26" t="str">
        <x:v>澳大利亚</x:v>
      </x:c>
      <x:c r="B7" s="26" t="str">
        <x:v>Work and Holiday 462</x:v>
      </x:c>
      <x:c r="C7" s="26" t="str">
        <x:v>政府/移民/外交官方</x:v>
      </x:c>
      <x:c r="D7" s="38" t="str">
        <x:v>https://immi.homeaffairs.gov.au/visas/getting-a-visa/visa-listing/work-holiday-462/first-work-holiday-462</x:v>
      </x:c>
      <x:c r="E7" s="26" t="str">
        <x:v>18–30含30；12个月；可争取2/3年；2026–27登记已关闭；已登记者仍抽选；中国申请人先抽签；年度5,000</x:v>
      </x:c>
      <x:c r="F7" s="37" t="n">
        <x:v>46248</x:v>
      </x:c>
    </x:row>
    <x:row r="8" ht="44" customHeight="1">
      <x:c r="A8" s="26" t="str">
        <x:v>新西兰</x:v>
      </x:c>
      <x:c r="B8" s="26" t="str">
        <x:v>China Working Holiday Visa</x:v>
      </x:c>
      <x:c r="C8" s="26" t="str">
        <x:v>政府/移民/外交官方</x:v>
      </x:c>
      <x:c r="D8" s="38" t="str">
        <x:v>https://www.immigration.govt.nz/visas/china-working-holiday-visa/</x:v>
      </x:c>
      <x:c r="E8" s="26" t="str">
        <x:v>18–30；12个月；2026名额已满；等2027；每年1,000；申请时居住中国；CSSD高中验证</x:v>
      </x:c>
      <x:c r="F8" s="37" t="n">
        <x:v>46248</x:v>
      </x:c>
    </x:row>
    <x:row r="9" ht="44" customHeight="1">
      <x:c r="A9" s="26" t="str">
        <x:v>德国</x:v>
      </x:c>
      <x:c r="B9" s="26" t="str">
        <x:v>机会卡 Chancenkarte</x:v>
      </x:c>
      <x:c r="C9" s="26" t="str">
        <x:v>政府/移民/外交官方</x:v>
      </x:c>
      <x:c r="D9" s="38" t="str">
        <x:v>https://www.make-it-in-germany.com/en/visa-residence/opportunity-card/job-search</x:v>
      </x:c>
      <x:c r="E9" s="26" t="str">
        <x:v>积分项未满35可加分；通常最长1年；全年可申请；须核学位可比性；目标是合格就业，不是随意打工</x:v>
      </x:c>
      <x:c r="F9" s="37" t="n">
        <x:v>46248</x:v>
      </x:c>
    </x:row>
    <x:row r="10" ht="44" customHeight="1">
      <x:c r="A10" s="26" t="str">
        <x:v>德国</x:v>
      </x:c>
      <x:c r="B10" s="26" t="str">
        <x:v>Au pair</x:v>
      </x:c>
      <x:c r="C10" s="26" t="str">
        <x:v>政府/移民/外交官方</x:v>
      </x:c>
      <x:c r="D10" s="38" t="str">
        <x:v>https://china.diplo.de/cn-zh/service/visa-einreise/2716620-2716620</x:v>
      </x:c>
      <x:c r="E10" s="26" t="str">
        <x:v>18–26；6–12个月；全年匹配；27岁前申请；住家照护儿童</x:v>
      </x:c>
      <x:c r="F10" s="37" t="n">
        <x:v>46248</x:v>
      </x:c>
    </x:row>
    <x:row r="11" ht="44" customHeight="1">
      <x:c r="A11" s="26" t="str">
        <x:v>美国</x:v>
      </x:c>
      <x:c r="B11" s="26" t="str">
        <x:v>Summer Work Travel</x:v>
      </x:c>
      <x:c r="C11" s="26" t="str">
        <x:v>政府/移民/外交官方</x:v>
      </x:c>
      <x:c r="D11" s="38" t="str">
        <x:v>https://j1visa.state.gov/programs/summer-work-travel/</x:v>
      </x:c>
      <x:c r="E11" s="26" t="str">
        <x:v>无核心年龄项；最长4个月；每年季节性；必须当前全日制大学在读；你已毕业</x:v>
      </x:c>
      <x:c r="F11" s="37" t="n">
        <x:v>46248</x:v>
      </x:c>
    </x:row>
    <x:row r="12" ht="44" customHeight="1">
      <x:c r="A12" s="26" t="str">
        <x:v>美国</x:v>
      </x:c>
      <x:c r="B12" s="26" t="str">
        <x:v>J-1 Intern</x:v>
      </x:c>
      <x:c r="C12" s="26" t="str">
        <x:v>政府/移民/外交官方</x:v>
      </x:c>
      <x:c r="D12" s="38" t="str">
        <x:v>https://j1visa.state.gov/programs/intern/</x:v>
      </x:c>
      <x:c r="E12" s="26" t="str">
        <x:v>无核心年龄项；按领域规则；全年；需在读或毕业不超过12个月</x:v>
      </x:c>
      <x:c r="F12" s="37" t="n">
        <x:v>46248</x:v>
      </x:c>
    </x:row>
    <x:row r="13" ht="44" customHeight="1">
      <x:c r="A13" s="26" t="str">
        <x:v>美国</x:v>
      </x:c>
      <x:c r="B13" s="26" t="str">
        <x:v>J-1 Trainee</x:v>
      </x:c>
      <x:c r="C13" s="26" t="str">
        <x:v>政府/移民/外交官方</x:v>
      </x:c>
      <x:c r="D13" s="38" t="str">
        <x:v>https://j1visa.state.gov/programs/trainee/</x:v>
      </x:c>
      <x:c r="E13" s="26" t="str">
        <x:v>无统一青年上限；按领域上限；全年；学位+境外至少1年相关经验；不能替代普通岗位</x:v>
      </x:c>
      <x:c r="F13" s="37" t="n">
        <x:v>46248</x:v>
      </x:c>
    </x:row>
    <x:row r="14" ht="44" customHeight="1">
      <x:c r="A14" s="26" t="str">
        <x:v>美国</x:v>
      </x:c>
      <x:c r="B14" s="26" t="str">
        <x:v>J-1 Au Pair</x:v>
      </x:c>
      <x:c r="C14" s="26" t="str">
        <x:v>政府/移民/外交官方</x:v>
      </x:c>
      <x:c r="D14" s="38" t="str">
        <x:v>https://j1visa.state.gov/programs/au-pair/</x:v>
      </x:c>
      <x:c r="E14" s="26" t="str">
        <x:v>18–26；12个月，可延长；全年匹配；背景筛查、照护儿童、完成规定课程</x:v>
      </x:c>
      <x:c r="F14" s="37" t="n">
        <x:v>46248</x:v>
      </x:c>
    </x:row>
    <x:row r="15" ht="44" customHeight="1">
      <x:c r="A15" s="26" t="str">
        <x:v>美国</x:v>
      </x:c>
      <x:c r="B15" s="26" t="str">
        <x:v>J-1 Camp Counselor</x:v>
      </x:c>
      <x:c r="C15" s="26" t="str">
        <x:v>政府/移民/外交官方</x:v>
      </x:c>
      <x:c r="D15" s="38" t="str">
        <x:v>https://j1visa.state.gov/programs/camp-counselor/</x:v>
      </x:c>
      <x:c r="E15" s="26" t="str">
        <x:v>至少18；最长4个月；季节性；需青年工作/教育/特殊技能；不能做普通后勤</x:v>
      </x:c>
      <x:c r="F15" s="37" t="n">
        <x:v>46248</x:v>
      </x:c>
    </x:row>
    <x:row r="16" ht="44" customHeight="1">
      <x:c r="A16" s="26" t="str">
        <x:v>法国</x:v>
      </x:c>
      <x:c r="B16" s="26" t="str">
        <x:v>Young au pair</x:v>
      </x:c>
      <x:c r="C16" s="26" t="str">
        <x:v>政府/移民/外交官方</x:v>
      </x:c>
      <x:c r="D16" s="38" t="str">
        <x:v>https://www.france-visas.gouv.fr/en/jeune-au-pair</x:v>
      </x:c>
      <x:c r="E16" s="26" t="str">
        <x:v>18–30；1年，可延至总计2年；全年匹配；与家庭不同国籍、无亲属关系</x:v>
      </x:c>
      <x:c r="F16" s="37" t="n">
        <x:v>46248</x:v>
      </x:c>
    </x:row>
    <x:row r="17" ht="44" customHeight="1">
      <x:c r="A17" s="26" t="str">
        <x:v>法国</x:v>
      </x:c>
      <x:c r="B17" s="26" t="str">
        <x:v>季节工</x:v>
      </x:c>
      <x:c r="C17" s="26" t="str">
        <x:v>政府/移民/外交官方</x:v>
      </x:c>
      <x:c r="D17" s="38" t="str">
        <x:v>https://www.france-visas.gouv.fr/en/activite-salariee</x:v>
      </x:c>
      <x:c r="E17" s="26" t="str">
        <x:v>无青年专属上限；依合同/季节规则；按季节；雇主须先取得工作许可</x:v>
      </x:c>
      <x:c r="F17" s="37" t="n">
        <x:v>46248</x:v>
      </x:c>
    </x:row>
    <x:row r="18" ht="44" customHeight="1">
      <x:c r="A18" s="26" t="str">
        <x:v>法国</x:v>
      </x:c>
      <x:c r="B18" s="26" t="str">
        <x:v>中法千名实习生</x:v>
      </x:c>
      <x:c r="C18" s="26" t="str">
        <x:v>政府/移民/外交官方</x:v>
      </x:c>
      <x:c r="D18" s="38" t="str">
        <x:v>https://www.legifrance.gouv.fr/jorf/article_jo/JORFARTI000032154775</x:v>
      </x:c>
      <x:c r="E18" s="26" t="str">
        <x:v>协议称青年毕业生；通常不超6个月；需确认当前中国端渠道；首次职业实习与毕业生口径需个案确认</x:v>
      </x:c>
      <x:c r="F18" s="37" t="n">
        <x:v>46248</x:v>
      </x:c>
    </x:row>
    <x:row r="19" ht="44" customHeight="1">
      <x:c r="A19" s="26" t="str">
        <x:v>英国</x:v>
      </x:c>
      <x:c r="B19" s="26" t="str">
        <x:v>Seasonal Worker</x:v>
      </x:c>
      <x:c r="C19" s="26" t="str">
        <x:v>政府/移民/外交官方</x:v>
      </x:c>
      <x:c r="D19" s="38" t="str">
        <x:v>https://www.gov.uk/seasonal-worker-visa</x:v>
      </x:c>
      <x:c r="E19" s="26" t="str">
        <x:v>18+；园艺最长6个月；全年按季节和担保方；需持牌担保方CoS；不能第二份/永久工作</x:v>
      </x:c>
      <x:c r="F19" s="37" t="n">
        <x:v>46248</x:v>
      </x:c>
    </x:row>
    <x:row r="20" ht="44" customHeight="1">
      <x:c r="A20" s="26" t="str">
        <x:v>英国</x:v>
      </x:c>
      <x:c r="B20" s="26" t="str">
        <x:v>Youth Mobility Scheme</x:v>
      </x:c>
      <x:c r="C20" s="26" t="str">
        <x:v>政府/移民/外交官方</x:v>
      </x:c>
      <x:c r="D20" s="38" t="str">
        <x:v>https://www.gov.uk/guidance/immigration-rules/immigration-rules-appendix-youth-mobility-scheme-eligible-nationals</x:v>
      </x:c>
      <x:c r="E20" s="26" t="str">
        <x:v>按国籍不同；通常2年；年度配额；大陆普通护照不在名单</x:v>
      </x:c>
      <x:c r="F20" s="37" t="n">
        <x:v>46248</x:v>
      </x:c>
    </x:row>
    <x:row r="21" ht="44" customHeight="1">
      <x:c r="A21" s="26" t="str">
        <x:v>芬兰</x:v>
      </x:c>
      <x:c r="B21" s="26" t="str">
        <x:v>Au pair</x:v>
      </x:c>
      <x:c r="C21" s="26" t="str">
        <x:v>政府/移民/外交官方</x:v>
      </x:c>
      <x:c r="D21" s="38" t="str">
        <x:v>https://migri.fi/en/au-pair/en</x:v>
      </x:c>
      <x:c r="E21" s="26" t="str">
        <x:v>17–30；最长1年；全年匹配；此前不能在任何国家做过au pair</x:v>
      </x:c>
      <x:c r="F21" s="37" t="n">
        <x:v>46248</x:v>
      </x:c>
    </x:row>
    <x:row r="22" ht="44" customHeight="1">
      <x:c r="A22" s="26" t="str">
        <x:v>芬兰</x:v>
      </x:c>
      <x:c r="B22" s="26" t="str">
        <x:v>Seasonal work</x:v>
      </x:c>
      <x:c r="C22" s="26" t="str">
        <x:v>政府/移民/外交官方</x:v>
      </x:c>
      <x:c r="D22" s="38" t="str">
        <x:v>https://migri.fi/en/seasonal-work</x:v>
      </x:c>
      <x:c r="E22" s="26" t="str">
        <x:v>无青年专属上限；最长9个月/12个月；按季节；先有合同；6–9个月涉及劳动力市场审查</x:v>
      </x:c>
      <x:c r="F22" s="37" t="n">
        <x:v>46248</x:v>
      </x:c>
    </x:row>
    <x:row r="23" ht="44" customHeight="1">
      <x:c r="A23" s="26" t="str">
        <x:v>瑞典</x:v>
      </x:c>
      <x:c r="B23" s="26" t="str">
        <x:v>Au pair</x:v>
      </x:c>
      <x:c r="C23" s="26" t="str">
        <x:v>政府/移民/外交官方</x:v>
      </x:c>
      <x:c r="D23" s="38" t="str">
        <x:v>https://www.migrationsverket.se/en/you-want-to-apply/work/temporary-work-in-sweden/au-pairs.html</x:v>
      </x:c>
      <x:c r="E23" s="26" t="str">
        <x:v>决定时18–29；最长1年，不延长；全年匹配；工作≤25小时/周；工作+学习≤40小时</x:v>
      </x:c>
      <x:c r="F23" s="37" t="n">
        <x:v>46248</x:v>
      </x:c>
    </x:row>
    <x:row r="24" ht="44" customHeight="1">
      <x:c r="A24" s="26" t="str">
        <x:v>瑞典</x:v>
      </x:c>
      <x:c r="B24" s="26" t="str">
        <x:v>Seasonal worker</x:v>
      </x:c>
      <x:c r="C24" s="26" t="str">
        <x:v>政府/移民/外交官方</x:v>
      </x:c>
      <x:c r="D24" s="38" t="str">
        <x:v>https://www.migrationsverket.se/en/you-want-to-apply/work/temporary-work-in-sweden/seasonal-workers.html</x:v>
      </x:c>
      <x:c r="E24" s="26" t="str">
        <x:v>无青年专属上限；最长9个月/12个月；按季节；雇主发起；工资达集体协议/行业标准</x:v>
      </x:c>
      <x:c r="F24" s="37" t="n">
        <x:v>46248</x:v>
      </x:c>
    </x:row>
    <x:row r="25" ht="44" customHeight="1">
      <x:c r="A25" s="26" t="str">
        <x:v>挪威</x:v>
      </x:c>
      <x:c r="B25" s="26" t="str">
        <x:v>Seasonal worker</x:v>
      </x:c>
      <x:c r="C25" s="26" t="str">
        <x:v>政府/移民/外交官方</x:v>
      </x:c>
      <x:c r="D25" s="38" t="str">
        <x:v>https://www.udi.no/en/want-to-apply/work-immigration/seasonal-workers/</x:v>
      </x:c>
      <x:c r="E25" s="26" t="str">
        <x:v>18+；最长6个月/12个月；按季节；先有全职offer；多数岗位需NAV劳动力确认</x:v>
      </x:c>
      <x:c r="F25" s="37" t="n">
        <x:v>46248</x:v>
      </x:c>
    </x:row>
    <x:row r="26" ht="44" customHeight="1">
      <x:c r="A26" s="26" t="str">
        <x:v>丹麦</x:v>
      </x:c>
      <x:c r="B26" s="26" t="str">
        <x:v>Au pair</x:v>
      </x:c>
      <x:c r="C26" s="26" t="str">
        <x:v>政府/移民/外交官方</x:v>
      </x:c>
      <x:c r="D26" s="38" t="str">
        <x:v>https://www.nyidanmark.dk/en-GB/You-want-to-apply/Au-pair</x:v>
      </x:c>
      <x:c r="E26" s="26" t="str">
        <x:v>18–29；按协议/许可；全年匹配；婚姻/稳定同居/子女条件严格</x:v>
      </x:c>
      <x:c r="F26" s="37" t="n">
        <x:v>46248</x:v>
      </x:c>
    </x:row>
    <x:row r="27" ht="44" customHeight="1">
      <x:c r="A27" s="26" t="str">
        <x:v>荷兰</x:v>
      </x:c>
      <x:c r="B27" s="26" t="str">
        <x:v>Au pair</x:v>
      </x:c>
      <x:c r="C27" s="26" t="str">
        <x:v>政府/移民/外交官方</x:v>
      </x:c>
      <x:c r="D27" s="38" t="str">
        <x:v>https://ind.nl/en/residence-permits/au-pair-and-exchange/residence-permit-au-pair</x:v>
      </x:c>
      <x:c r="E27" s="26" t="str">
        <x:v>18–25；最长1年；全年匹配；必须IND认可机构；未婚无子女</x:v>
      </x:c>
      <x:c r="F27" s="37" t="n">
        <x:v>46248</x:v>
      </x:c>
    </x:row>
    <x:row r="28" ht="44" customHeight="1">
      <x:c r="A28" s="26" t="str">
        <x:v>荷兰</x:v>
      </x:c>
      <x:c r="B28" s="26" t="str">
        <x:v>Seasonal work</x:v>
      </x:c>
      <x:c r="C28" s="26" t="str">
        <x:v>政府/移民/外交官方</x:v>
      </x:c>
      <x:c r="D28" s="38" t="str">
        <x:v>https://ind.nl/en/residence-permits/work/residence-permit-for-seasonal-work</x:v>
      </x:c>
      <x:c r="E28" s="26" t="str">
        <x:v>无青年专属上限；最长24周；按季节；农业园艺；欧盟优先招聘和劳动力测试</x:v>
      </x:c>
      <x:c r="F28" s="37" t="n">
        <x:v>46248</x:v>
      </x:c>
    </x:row>
    <x:row r="29" ht="44" customHeight="1">
      <x:c r="A29" s="26" t="str">
        <x:v>奥地利</x:v>
      </x:c>
      <x:c r="B29" s="26" t="str">
        <x:v>Au pair</x:v>
      </x:c>
      <x:c r="C29" s="26" t="str">
        <x:v>政府/移民/外交官方</x:v>
      </x:c>
      <x:c r="D29" s="38" t="str">
        <x:v>https://www.ams.at/unternehmen/service-zur-personalsuche/beschaeftigung-auslaendischer-arbeitskraefte/volontariat--ferial--oder-berufspraktikum-und-au-pair</x:v>
      </x:c>
      <x:c r="E29" s="26" t="str">
        <x:v>18–27；过去5年合计通常最多1年；全年匹配；家庭须向AMS申报</x:v>
      </x:c>
      <x:c r="F29" s="37" t="n">
        <x:v>46248</x:v>
      </x:c>
    </x:row>
    <x:row r="30" ht="44" customHeight="1">
      <x:c r="A30" s="26" t="str">
        <x:v>奥地利</x:v>
      </x:c>
      <x:c r="B30" s="26" t="str">
        <x:v>Seasonal worker</x:v>
      </x:c>
      <x:c r="C30" s="26" t="str">
        <x:v>政府/移民/外交官方</x:v>
      </x:c>
      <x:c r="D30" s="38" t="str">
        <x:v>https://www.migration.gv.at/en/types-of-immigration/fixed-term-employment/seasonal-workers/</x:v>
      </x:c>
      <x:c r="E30" s="26" t="str">
        <x:v>无青年专属上限；单次通常6个月；12月内最多9个月；受配额；雇主向AMS申请配额许可并过劳动力测试</x:v>
      </x:c>
      <x:c r="F30" s="37" t="n">
        <x:v>46248</x:v>
      </x:c>
    </x:row>
    <x:row r="31" ht="44" customHeight="1">
      <x:c r="A31" s="26" t="str">
        <x:v>比利时</x:v>
      </x:c>
      <x:c r="B31" s="26" t="str">
        <x:v>Au pair</x:v>
      </x:c>
      <x:c r="C31" s="26" t="str">
        <x:v>政府/移民/外交官方</x:v>
      </x:c>
      <x:c r="D31" s="38" t="str">
        <x:v>https://employment.belgium.be/en/themes/international/foreign-workers/au-pair-work-belgium</x:v>
      </x:c>
      <x:c r="E31" s="26" t="str">
        <x:v>多区通常18–25；最长1年；全年匹配；Brussels/Flanders/Wallonia规则不同</x:v>
      </x:c>
      <x:c r="F31" s="37" t="n">
        <x:v>46248</x:v>
      </x:c>
    </x:row>
    <x:row r="32" ht="44" customHeight="1">
      <x:c r="A32" s="26" t="str">
        <x:v>比利时</x:v>
      </x:c>
      <x:c r="B32" s="26" t="str">
        <x:v>Seasonal worker</x:v>
      </x:c>
      <x:c r="C32" s="26" t="str">
        <x:v>政府/移民/外交官方</x:v>
      </x:c>
      <x:c r="D32" s="38" t="str">
        <x:v>https://dofi.ibz.be/en/themes/third-country-nationals/work/seasonal-workers</x:v>
      </x:c>
      <x:c r="E32" s="26" t="str">
        <x:v>无青年专属上限；长期最多150天/365天；按大区和季节；雇主向大区申请单一许可</x:v>
      </x:c>
      <x:c r="F32" s="37" t="n">
        <x:v>46248</x:v>
      </x:c>
    </x:row>
    <x:row r="33" ht="44" customHeight="1">
      <x:c r="A33" s="26" t="str">
        <x:v>卢森堡</x:v>
      </x:c>
      <x:c r="B33" s="26" t="str">
        <x:v>Au pair</x:v>
      </x:c>
      <x:c r="C33" s="26" t="str">
        <x:v>政府/移民/外交官方</x:v>
      </x:c>
      <x:c r="D33" s="38" t="str">
        <x:v>https://guichet.public.lu/en/citoyens/immigration/plus-3-mois/ressortissant-tiers/jeune-au-pair/au-pair-tiers.html</x:v>
      </x:c>
      <x:c r="E33" s="26" t="str">
        <x:v>18–29；按批准与协议；全年匹配；先获青年部门批准，再临时居留授权/D签</x:v>
      </x:c>
      <x:c r="F33" s="37" t="n">
        <x:v>46248</x:v>
      </x:c>
    </x:row>
    <x:row r="34" ht="44" customHeight="1">
      <x:c r="A34" s="26" t="str">
        <x:v>瑞士</x:v>
      </x:c>
      <x:c r="B34" s="26" t="str">
        <x:v>第三国Au pair</x:v>
      </x:c>
      <x:c r="C34" s="26" t="str">
        <x:v>政府/移民/外交官方</x:v>
      </x:c>
      <x:c r="D34" s="38" t="str">
        <x:v>https://www.sem.admin.ch/sem/en/home/themen/arbeit/faq.0006.html</x:v>
      </x:c>
      <x:c r="E34" s="26" t="str">
        <x:v>18–25；通常最长1年；全年匹配；必须SECO认可机构；先获州许可</x:v>
      </x:c>
      <x:c r="F34" s="37" t="n">
        <x:v>46248</x:v>
      </x:c>
    </x:row>
    <x:row r="35" ht="44" customHeight="1">
      <x:c r="A35" s="26" t="str">
        <x:v>葡萄牙</x:v>
      </x:c>
      <x:c r="B35" s="26" t="str">
        <x:v>临时/季节受雇签证</x:v>
      </x:c>
      <x:c r="C35" s="26" t="str">
        <x:v>政府/移民/外交官方</x:v>
      </x:c>
      <x:c r="D35" s="38" t="str">
        <x:v>https://www.gov.pt/servicos/pedir-um-visto-de-estada-temporaria-para-trabalho-subordinado-ou-independente</x:v>
      </x:c>
      <x:c r="E35" s="26" t="str">
        <x:v>无青年专属上限；不足1年；按季节；先有合同/承诺和IEFP相关文件</x:v>
      </x:c>
      <x:c r="F35" s="37" t="n">
        <x:v>46248</x:v>
      </x:c>
    </x:row>
    <x:row r="36" ht="44" customHeight="1">
      <x:c r="A36" s="26" t="str">
        <x:v>克罗地亚</x:v>
      </x:c>
      <x:c r="B36" s="26" t="str">
        <x:v>Seasonal worker</x:v>
      </x:c>
      <x:c r="C36" s="26" t="str">
        <x:v>政府/移民/外交官方</x:v>
      </x:c>
      <x:c r="D36" s="38" t="str">
        <x:v>https://mup.gov.hr/aliens-281621/stay-and-work/seasonal-workers/281670</x:v>
      </x:c>
      <x:c r="E36" s="26" t="str">
        <x:v>无青年专属上限；每年最长6个月；按季节；农业/林业/酒店餐饮/旅游；雇主办许可</x:v>
      </x:c>
      <x:c r="F36" s="37" t="n">
        <x:v>46248</x:v>
      </x:c>
    </x:row>
    <x:row r="37" ht="44" customHeight="1">
      <x:c r="A37" s="26" t="str">
        <x:v>日本</x:v>
      </x:c>
      <x:c r="B37" s="26" t="str">
        <x:v>特定技能1号</x:v>
      </x:c>
      <x:c r="C37" s="26" t="str">
        <x:v>政府/移民/外交官方</x:v>
      </x:c>
      <x:c r="D37" s="38" t="str">
        <x:v>https://www.ssw.go.jp/en/about/visa/</x:v>
      </x:c>
      <x:c r="E37" s="26" t="str">
        <x:v>通常18+；累计最长5年；按考试与招聘；需行业技能考试；非旅游工作</x:v>
      </x:c>
      <x:c r="F37" s="37" t="n">
        <x:v>46248</x:v>
      </x:c>
    </x:row>
    <x:row r="38" ht="44" customHeight="1">
      <x:c r="A38" s="26" t="str">
        <x:v>日本</x:v>
      </x:c>
      <x:c r="B38" s="26" t="str">
        <x:v>Working Holiday</x:v>
      </x:c>
      <x:c r="C38" s="26" t="str">
        <x:v>政府/移民/外交官方</x:v>
      </x:c>
      <x:c r="D38" s="38" t="str">
        <x:v>https://www.mofa.go.jp/j_info/visit/w_holiday/index.html</x:v>
      </x:c>
      <x:c r="E38" s="26" t="str">
        <x:v>按伙伴国；通常1年；伙伴名单制；大陆普通护照不在伙伴名单</x:v>
      </x:c>
      <x:c r="F38" s="37" t="n">
        <x:v>46248</x:v>
      </x:c>
    </x:row>
    <x:row r="39" ht="44" customHeight="1">
      <x:c r="A39" s="26" t="str">
        <x:v>韩国</x:v>
      </x:c>
      <x:c r="B39" s="26" t="str">
        <x:v>EPS E-9</x:v>
      </x:c>
      <x:c r="C39" s="26" t="str">
        <x:v>政府/移民/外交官方</x:v>
      </x:c>
      <x:c r="D39" s="38" t="str">
        <x:v>https://www.eps.go.kr/eo/langMain.eo</x:v>
      </x:c>
      <x:c r="E39" s="26" t="str">
        <x:v>按当批公告；按合同/签证；批次制；政府就业流程；行业/雇主绑定；非旅游工作</x:v>
      </x:c>
      <x:c r="F39" s="37" t="n">
        <x:v>46248</x:v>
      </x:c>
    </x:row>
    <x:row r="40" ht="44" customHeight="1">
      <x:c r="A40" s="26" t="str">
        <x:v>韩国</x:v>
      </x:c>
      <x:c r="B40" s="26" t="str">
        <x:v>Working Holiday H-1</x:v>
      </x:c>
      <x:c r="C40" s="26" t="str">
        <x:v>政府/移民/外交官方</x:v>
      </x:c>
      <x:c r="D40" s="38" t="str">
        <x:v>https://whic.mofa.go.kr/contents.do?contentsNo=38</x:v>
      </x:c>
      <x:c r="E40" s="26" t="str">
        <x:v>按伙伴国；通常1年；伙伴名单制；大陆普通护照不在伙伴名单</x:v>
      </x:c>
      <x:c r="F40" s="37" t="n">
        <x:v>46248</x:v>
      </x:c>
    </x:row>
    <x:row r="41" ht="44" customHeight="1">
      <x:c r="A41" s="26" t="str">
        <x:v>加拿大</x:v>
      </x:c>
      <x:c r="B41" s="26" t="str">
        <x:v>IEC Working Holiday</x:v>
      </x:c>
      <x:c r="C41" s="26" t="str">
        <x:v>政府/移民/外交官方</x:v>
      </x:c>
      <x:c r="D41" s="38" t="str">
        <x:v>https://www.canada.ca/en/immigration-refugees-citizenship/services/work-canada/iec/eligibility.html</x:v>
      </x:c>
      <x:c r="E41" s="26" t="str">
        <x:v>按伙伴国；按类别；伙伴名单制；大陆普通护照不在IEC名单</x:v>
      </x:c>
      <x:c r="F41" s="37" t="n">
        <x:v>46248</x:v>
      </x:c>
    </x:row>
    <x:row r="42" ht="44" customHeight="1">
      <x:c r="A42" s="26" t="str">
        <x:v>新加坡</x:v>
      </x:c>
      <x:c r="B42" s="26" t="str">
        <x:v>Work Holiday Programme</x:v>
      </x:c>
      <x:c r="C42" s="26" t="str">
        <x:v>政府/移民/外交官方</x:v>
      </x:c>
      <x:c r="D42" s="38" t="str">
        <x:v>https://www.mom.gov.sg/passes-and-permits/work-holiday-programme/eligibility</x:v>
      </x:c>
      <x:c r="E42" s="26" t="str">
        <x:v>18–25；最长6个月；总容量限制；须毕业于指定国家/地区大学；中南大学不符合</x:v>
      </x:c>
      <x:c r="F42" s="37" t="n">
        <x:v>46248</x:v>
      </x:c>
    </x:row>
    <x:row r="43" ht="44" customHeight="1">
      <x:c r="A43" s="26" t="str">
        <x:v>新加坡</x:v>
      </x:c>
      <x:c r="B43" s="26" t="str">
        <x:v>Work Permit</x:v>
      </x:c>
      <x:c r="C43" s="26" t="str">
        <x:v>政府/移民/外交官方</x:v>
      </x:c>
      <x:c r="D43" s="38" t="str">
        <x:v>https://www.mom.gov.sg/passes-and-permits/work-permit-for-foreign-worker/sector-specific-rules/services-sector-requirements</x:v>
      </x:c>
      <x:c r="E43" s="26" t="str">
        <x:v>按行业规则；按许可；配额制；仅部分行业/来源国；强雇主绑定；非旅游工作</x:v>
      </x:c>
      <x:c r="F43" s="37" t="n">
        <x:v>46248</x:v>
      </x:c>
    </x:row>
    <x:row r="44" ht="44" customHeight="1">
      <x:c r="A44" s="26" t="str">
        <x:v>中国香港</x:v>
      </x:c>
      <x:c r="B44" s="26" t="str">
        <x:v>合资格大学名单</x:v>
      </x:c>
      <x:c r="C44" s="26" t="str">
        <x:v>香港入境事务处</x:v>
      </x:c>
      <x:c r="D44" s="38" t="str">
        <x:v>https://www.immd.gov.hk/pdf/aggregate_list.pdf</x:v>
      </x:c>
      <x:c r="E44" s="26" t="str">
        <x:v>确认Central South University / 中南大学在名单</x:v>
      </x:c>
      <x:c r="F44" s="37" t="n">
        <x:v>46248</x:v>
      </x:c>
    </x:row>
    <x:row r="45" ht="44" customHeight="1">
      <x:c r="A45" s="26" t="str">
        <x:v>澳大利亚</x:v>
      </x:c>
      <x:c r="B45" s="26" t="str">
        <x:v>国家名额状态</x:v>
      </x:c>
      <x:c r="C45" s="26" t="str">
        <x:v>澳洲内政部</x:v>
      </x:c>
      <x:c r="D45" s="38" t="str">
        <x:v>https://immi.homeaffairs.gov.au/what-we-do/whm-program/status-of-country-caps</x:v>
      </x:c>
      <x:c r="E45" s="26" t="str">
        <x:v>中国年度上限5,000</x:v>
      </x:c>
      <x:c r="F45" s="37" t="n">
        <x:v>46248</x:v>
      </x:c>
    </x:row>
    <x:row r="46" ht="44" customHeight="1">
      <x:c r="A46" s="26" t="str">
        <x:v>新西兰</x:v>
      </x:c>
      <x:c r="B46" s="26" t="str">
        <x:v>英语分数</x:v>
      </x:c>
      <x:c r="C46" s="26" t="str">
        <x:v>新西兰移民局</x:v>
      </x:c>
      <x:c r="D46" s="38" t="str">
        <x:v>https://www.immigration.govt.nz/process-to-apply/applying-for-a-visa/providing-evidence-and-documents-to-support-your-visa-application/english-language-requirements/english-language-requirements-for-some-working-holiday-visas/</x:v>
      </x:c>
      <x:c r="E46" s="26" t="str">
        <x:v>中国WHV IELTS 5.5等</x:v>
      </x:c>
      <x:c r="F46" s="37" t="n">
        <x:v>46248</x:v>
      </x:c>
    </x:row>
    <x:row r="47" ht="44" customHeight="1">
      <x:c r="A47" s="26" t="str">
        <x:v>美国</x:v>
      </x:c>
      <x:c r="B47" s="26" t="str">
        <x:v>J-1担保人查询</x:v>
      </x:c>
      <x:c r="C47" s="26" t="str">
        <x:v>美国国务院</x:v>
      </x:c>
      <x:c r="D47" s="38" t="str">
        <x:v>https://j1visa.state.gov/participants/how-to-apply/sponsor-search/</x:v>
      </x:c>
      <x:c r="E47" s="26" t="str">
        <x:v>只通过指定担保人</x:v>
      </x:c>
      <x:c r="F47" s="37" t="n">
        <x:v>46248</x:v>
      </x:c>
    </x:row>
    <x:row r="48" ht="44" customHeight="1">
      <x:c r="A48" s="26" t="str">
        <x:v>英国</x:v>
      </x:c>
      <x:c r="B48" s="26" t="str">
        <x:v>持牌担保人登记册</x:v>
      </x:c>
      <x:c r="C48" s="26" t="str">
        <x:v>英国政府</x:v>
      </x:c>
      <x:c r="D48" s="38" t="str">
        <x:v>https://www.gov.uk/government/publications/register-of-licensed-sponsors-workers</x:v>
      </x:c>
      <x:c r="E48" s="26" t="str">
        <x:v>核验Seasonal Worker担保资格</x:v>
      </x:c>
      <x:c r="F48" s="37" t="n">
        <x:v>46248</x:v>
      </x:c>
    </x:row>
  </x:sheetData>
  <x:mergeCells>
    <x:mergeCell ref="A1:F1"/>
    <x:mergeCell ref="A2:F2"/>
  </x:mergeCells>
  <x:pageMargins left="0.7" right="0.7" top="0.75" bottom="0.75" header="0.3" footer="0.3"/>
</x:worksheet>
</file>